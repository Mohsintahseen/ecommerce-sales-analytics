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Cleaning_Log" sheetId="2" state="visible" r:id="rId4"/>
    <sheet name="Validation_Anchors" sheetId="3" state="visible" r:id="rId5"/>
    <sheet name="Key_Results" sheetId="4" state="visible" r:id="rId6"/>
    <sheet name="Data_Model" sheetId="5" state="visible" r:id="rId7"/>
    <sheet name="Data_Dictionary" sheetId="6" state="visible" r:id="rId8"/>
  </sheets>
  <definedNames>
    <definedName function="false" hidden="true" localSheetId="5" name="_xlnm._FilterDatabase" vbProcedure="false">Data_Dictionary!$A$1:$I$31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<sst xmlns="http://schemas.openxmlformats.org/spreadsheetml/2006/main" count="633" uniqueCount="451">
  <si>
    <t xml:space="preserve">E-Commerce Analytics: Project Documentation</t>
  </si>
  <si>
    <t xml:space="preserve">Dataset: UCI Online Retail II (CC BY 4.0). Cleaned version is a modified adaptation; credit the original creators in the README.</t>
  </si>
  <si>
    <t xml:space="preserve">Sheets</t>
  </si>
  <si>
    <t xml:space="preserve">Cleaning_Log: one row per rule. Every rule has Problem, Decision, Validation check, and a count.</t>
  </si>
  <si>
    <t xml:space="preserve">Validation_Anchors: verified numbers every tool (Power Query, MySQL, Power BI) must reproduce.</t>
  </si>
  <si>
    <t xml:space="preserve">Data_Dictionary: every column in the final model with type, key, nullability, source and the quality issues found.</t>
  </si>
  <si>
    <t xml:space="preserve">Data_Model: the star schema (fact, dimensions, grain, keys, relationships) built in MySQL for Power BI.</t>
  </si>
  <si>
    <t xml:space="preserve">Key_Results: the headline numbers from the SQL analysis, with the script that produced each (see the sql folder).</t>
  </si>
  <si>
    <t xml:space="preserve">How to use Cleaning_Log</t>
  </si>
  <si>
    <t xml:space="preserve">Evidence (profiling): the number observed while profiling the raw data.</t>
  </si>
  <si>
    <t xml:space="preserve">Phase 4 result: type the number you get after implementing the rule (yellow cells). Match? compares the two.</t>
  </si>
  <si>
    <t xml:space="preserve">Status: Open = unresolved. Decided = rule agreed, not yet built. Implemented = built and validated. Closed = open item resolved. Needs review = revisit.</t>
  </si>
  <si>
    <t xml:space="preserve">Rule IDs: R = cleaning rule, O = open item or assumption.</t>
  </si>
  <si>
    <t xml:space="preserve">Rules</t>
  </si>
  <si>
    <t xml:space="preserve">Nothing is deleted. Rows are flagged with RowType and other flag columns; each KPI chooses which types to include.</t>
  </si>
  <si>
    <t xml:space="preserve">ID</t>
  </si>
  <si>
    <t xml:space="preserve">Problem</t>
  </si>
  <si>
    <t xml:space="preserve">Decision</t>
  </si>
  <si>
    <t xml:space="preserve">Validation check</t>
  </si>
  <si>
    <t xml:space="preserve">Evidence (profiling)</t>
  </si>
  <si>
    <t xml:space="preserve">Phase 4 result</t>
  </si>
  <si>
    <t xml:space="preserve">Match?</t>
  </si>
  <si>
    <t xml:space="preserve">Status</t>
  </si>
  <si>
    <t xml:space="preserve">R01</t>
  </si>
  <si>
    <t xml:space="preserve">Source sheets overlap for 1-9 Dec 2010 (22,523 lines, 1,088 invoices, £377,488.45). Identical at invoice level.</t>
  </si>
  <si>
    <t xml:space="preserve">Keep Sheet 2's copy. Filter Sheet 1 to InvoiceDate before 1 Dec 2010.</t>
  </si>
  <si>
    <t xml:space="preserve">Sales_Combined row count (502,938 + 541,910)</t>
  </si>
  <si>
    <t xml:space="preserve">Implemented</t>
  </si>
  <si>
    <t xml:space="preserve">R02</t>
  </si>
  <si>
    <t xml:space="preserve">6 invoices start with 'A' (StockCode B, 'Adjust bad debt'), net -£147,614.08.</t>
  </si>
  <si>
    <t xml:space="preserve">RowType = AccountingEntry. Excluded from all KPIs.</t>
  </si>
  <si>
    <t xml:space="preserve">Rows with Invoice starting 'A' (RowType = AccountingEntry)</t>
  </si>
  <si>
    <t xml:space="preserve">R03</t>
  </si>
  <si>
    <t xml:space="preserve">5,992 rows have non-product-style StockCodes (postage, fees, samples, vouchers, tests), net about -£70,366.51.</t>
  </si>
  <si>
    <t xml:space="preserve">Classify by code group. Flag, never delete. DCGS... codes are real products and stay Sale. gift_... = GiftVoucher.</t>
  </si>
  <si>
    <t xml:space="preserve">NonProductCharge 5,721 + GiftVoucher 100 + AccountingEntry 6 + DCGS products kept as Sale 157 + open-item rows 24 = 5,992</t>
  </si>
  <si>
    <t xml:space="preserve">R04</t>
  </si>
  <si>
    <t xml:space="preserve">3,393 non-'C' rows with negative quantity, price 0, no customer; notes like 'damaged', 'check'.</t>
  </si>
  <si>
    <t xml:space="preserve">Treat as stock write-offs. Covered by rule R09. Revenue effect is £0; excluded from Units Sold.</t>
  </si>
  <si>
    <t xml:space="preserve">Covered by R09 (RowType = StockAdjustment); revenue = 0</t>
  </si>
  <si>
    <t xml:space="preserve">R05</t>
  </si>
  <si>
    <t xml:space="preserve">173 StockCodes appear in two letter cases (e.g. M and m).</t>
  </si>
  <si>
    <t xml:space="preserve">Uppercase StockCode in staging.</t>
  </si>
  <si>
    <t xml:space="preserve">Distinct StockCode after upper-casing</t>
  </si>
  <si>
    <t xml:space="preserve">R05b</t>
  </si>
  <si>
    <t xml:space="preserve">One StockCode (47503J) had a trailing space: two rows in dim_product, 1 fact row. Power BI rejected the product relationship (duplicate key); MySQL had accepted both.</t>
  </si>
  <si>
    <t xml:space="preserve">TRIM stock_code in stg_sales and delete the duplicate dim_product row (MySQL). Power Query Stg_Sales now trims StockCode too (power_query/04_Stg_Sales.pq): distinct StockCode is 5,131 in Power Query and in MySQL, so a rebuild stays clean.</t>
  </si>
  <si>
    <t xml:space="preserve">dim_product rows after the patch (5,132 - 1); stock codes with spaces = 0</t>
  </si>
  <si>
    <t xml:space="preserve">R06</t>
  </si>
  <si>
    <t xml:space="preserve">1,403 'Manual' rows (codes M and m), net -£82,935.57. Purpose unknown; gross swings are large.</t>
  </si>
  <si>
    <t xml:space="preserve">RowType = NonProductCharge. Report separately from product revenue.</t>
  </si>
  <si>
    <t xml:space="preserve">Rows with Description = Manual (inside NonProductCharge)</t>
  </si>
  <si>
    <t xml:space="preserve">R07</t>
  </si>
  <si>
    <t xml:space="preserve">11,812 exact duplicate rows (all 8 original columns), carrying £54,228.42 (0.29% of revenue).</t>
  </si>
  <si>
    <t xml:space="preserve">Add IsDuplicate flag. Keep all rows. Cannot prove they are errors.</t>
  </si>
  <si>
    <t xml:space="preserve">Rows with is_duplicate = 1 (MySQL, 04_flags.sql)</t>
  </si>
  <si>
    <t xml:space="preserve">R08</t>
  </si>
  <si>
    <t xml:space="preserve">StockCode 23574 is PACKING CHARGE at £7.50 (16 rows, net +£90.00). One more row with this code has price 0.</t>
  </si>
  <si>
    <t xml:space="preserve">NonProductCharge when StockCode = 23574 AND Price &gt; 0.</t>
  </si>
  <si>
    <t xml:space="preserve">Rows classified by this rule (inside NonProductCharge = 5,721)</t>
  </si>
  <si>
    <t xml:space="preserve">R09</t>
  </si>
  <si>
    <t xml:space="preserve">6,024 zero-price rows: 5,954 with no customer, 70 with a customer (largest: 12,540 units).</t>
  </si>
  <si>
    <t xml:space="preserve">No customer -&gt; StockAdjustment. With customer -&gt; ZeroPriceItem, excluded from Units Sold, kept in data. Not called 'free gifts' because the data cannot say.</t>
  </si>
  <si>
    <t xml:space="preserve">StockAdjustment 5,914 + ZeroPriceItem 61 + 49 zero-price rows taken earlier by charge/voucher rules = 6,024</t>
  </si>
  <si>
    <t xml:space="preserve">R10</t>
  </si>
  <si>
    <t xml:space="preserve">208,682 rows have leading or trailing spaces in Description.</t>
  </si>
  <si>
    <t xml:space="preserve">Trim Description in staging (null stays null). Keep raw column.</t>
  </si>
  <si>
    <t xml:space="preserve">Distinct descriptions after trim</t>
  </si>
  <si>
    <t xml:space="preserve">R11</t>
  </si>
  <si>
    <t xml:space="preserve">600 codes have more than one description among sale rows (1,192 before excluding staff notes).</t>
  </si>
  <si>
    <t xml:space="preserve">Product table: one name per code = most frequent among sale rows, ties broken by most recent.</t>
  </si>
  <si>
    <t xml:space="preserve">Product table has exactly one row per StockCode (to be built in Phase 6; rule already used in 09_product_analysis.sql)</t>
  </si>
  <si>
    <t xml:space="preserve">Decided</t>
  </si>
  <si>
    <t xml:space="preserve">R12</t>
  </si>
  <si>
    <t xml:space="preserve">43 Country values incl. EIRE, RSA, USA, Korea. 2,518 rows are not countries (Unspecified, European Community, West Indies, Channel Islands).</t>
  </si>
  <si>
    <t xml:space="preserve">Add StandardCountry mapping. Keep original Country. MapReady = false for non-countries.</t>
  </si>
  <si>
    <t xml:space="preserve">Distinct StandardCountry = 43; rows unchanged; MapReady = false on 2,518 rows</t>
  </si>
  <si>
    <t xml:space="preserve">R13</t>
  </si>
  <si>
    <t xml:space="preserve">13 customers appear under 2 countries (the two rules disagree for 3).</t>
  </si>
  <si>
    <t xml:space="preserve">Keep Country on each transaction row. Customer table gets most frequent country, ties by most recent.</t>
  </si>
  <si>
    <t xml:space="preserve">Customer table has one row per CustomerID (to be built in Phase 6)</t>
  </si>
  <si>
    <t xml:space="preserve">R14</t>
  </si>
  <si>
    <t xml:space="preserve">1,351 cancellation lines reverse a same-customer, same-product, same-price sale within 24 hours (1,429 sale lines, £364,141.55 = 1.8% of Sale revenue). Two giant pairs (£168,469.60 and £77,183.60) are 67% of that.</t>
  </si>
  <si>
    <t xml:space="preserve">Add is_quick_reversal to both sides of each pair. Keep rows. Net Revenue unaffected; Gross Sales, Units, AOV, cancellation rate can exclude them. 24-hour window is my assumption.</t>
  </si>
  <si>
    <t xml:space="preserve">Rows with is_quick_reversal = 1 (1,429 Sale + 1,351 Cancellation)</t>
  </si>
  <si>
    <t xml:space="preserve">R15</t>
  </si>
  <si>
    <t xml:space="preserve">17 Sale rows have price £0.001 (all code PADS), total £0.017.</t>
  </si>
  <si>
    <t xml:space="preserve">Keep as Sale. Exclude from any price-distribution visual or call them out.</t>
  </si>
  <si>
    <t xml:space="preserve">Sale rows with Price &lt; 0.01</t>
  </si>
  <si>
    <t xml:space="preserve">R16</t>
  </si>
  <si>
    <t xml:space="preserve">A leftover descending sort on InvoiceDate in Sheet1_Clean put rows in the wrong order, so LineID followed the wrong sequence.</t>
  </si>
  <si>
    <t xml:space="preserve">Deleted the sort step. After each build, check the first and last row, not only totals.</t>
  </si>
  <si>
    <t xml:space="preserve">Export_Sales row 1 InvoiceDate = 2009-12-01 07:45:00</t>
  </si>
  <si>
    <t xml:space="preserve">R17</t>
  </si>
  <si>
    <t xml:space="preserve">407 stock codes have no product name: 379 appear only in stock-adjustment rows, 14 only in cancellations, the rest are charges, vouchers or accounting entries (10 codes appear in several types).</t>
  </si>
  <si>
    <t xml:space="preserve">Leave product_name NULL. Never use staff notes as names. Add product_label = name or, if none, the stock code, so a chart never shows (Blank).</t>
  </si>
  <si>
    <t xml:space="preserve">Unnamed codes in dim_product (null product_label = 0)</t>
  </si>
  <si>
    <t xml:space="preserve">O1</t>
  </si>
  <si>
    <t xml:space="preserve">5 rows with codes SP1002 (3), GIFT (1) and C3 (1) are in no rule list (PADS was resolved).</t>
  </si>
  <si>
    <t xml:space="preserve">Left under the default RowType rules. Net revenue effect: £14.75 (SP1002), £0 (GIFT, C3), so immaterial.</t>
  </si>
  <si>
    <t xml:space="preserve">Rows reviewed</t>
  </si>
  <si>
    <t xml:space="preserve">Closed</t>
  </si>
  <si>
    <t xml:space="preserve">O2</t>
  </si>
  <si>
    <t xml:space="preserve">Country 'Korea' (63 rows) is ambiguous.</t>
  </si>
  <si>
    <t xml:space="preserve">Assumed South Korea. Documented in the README limitations.</t>
  </si>
  <si>
    <t xml:space="preserve">Assumption recorded</t>
  </si>
  <si>
    <t xml:space="preserve">O3</t>
  </si>
  <si>
    <t xml:space="preserve">Price assumed to be UNIT price. Tested on 3 products (13,720 Sale lines): average price falls as quantity rises (85099B £3.03 for 1 unit, £1.83 for 25+; 85123A £3.97 to £2.59; 22423 £15.52 to £11.80), as expected for a unit price with volume discounts. A line total would rise with quantity.</t>
  </si>
  <si>
    <t xml:space="preserve">Assumption supported. State in README that it is verified on 3 products, not on every product.</t>
  </si>
  <si>
    <t xml:space="preserve">Average price by quantity band does not rise with quantity</t>
  </si>
  <si>
    <t xml:space="preserve">O4</t>
  </si>
  <si>
    <t xml:space="preserve">Discount lines (code D, 173 rows, -£12,879.63): treatment is a judgment call.</t>
  </si>
  <si>
    <t xml:space="preserve">Excluded from Net Product Revenue as a non-product line, reported separately. Stated in the README as a judgment call.</t>
  </si>
  <si>
    <t xml:space="preserve">Decision documented</t>
  </si>
  <si>
    <t xml:space="preserve">Anchor</t>
  </si>
  <si>
    <t xml:space="preserve">Value</t>
  </si>
  <si>
    <t xml:space="preserve">Source / note</t>
  </si>
  <si>
    <t xml:space="preserve">Sheet 1 data rows (excl. header)</t>
  </si>
  <si>
    <t xml:space="preserve">Verified in Excel/Power Query</t>
  </si>
  <si>
    <t xml:space="preserve">Sheet 2 data rows (excl. header)</t>
  </si>
  <si>
    <t xml:space="preserve">Sheet 1 rows after filter (before 1 Dec 2010)</t>
  </si>
  <si>
    <t xml:space="preserve">Verified in Power Query (Sheet1_Clean)</t>
  </si>
  <si>
    <t xml:space="preserve">Overlap lines removed from Sheet 1</t>
  </si>
  <si>
    <t xml:space="preserve">Calculated: Sheet 1 rows minus filtered rows</t>
  </si>
  <si>
    <t xml:space="preserve">Overlap window lines, 1-9 Dec 2010 (each sheet)</t>
  </si>
  <si>
    <t xml:space="preserve">Verified in both sheets</t>
  </si>
  <si>
    <t xml:space="preserve">Check: removed lines = overlap window lines</t>
  </si>
  <si>
    <t xml:space="preserve">Should match</t>
  </si>
  <si>
    <t xml:space="preserve">Overlap window distinct invoices</t>
  </si>
  <si>
    <t xml:space="preserve">Verified (Left Anti and Inner merges: 0 / 0 / 1,088 matched)</t>
  </si>
  <si>
    <t xml:space="preserve">Overlap window revenue (£)</t>
  </si>
  <si>
    <t xml:space="preserve">Rounded; Quantity x Price</t>
  </si>
  <si>
    <t xml:space="preserve">Sales_Combined rows (observed)</t>
  </si>
  <si>
    <t xml:space="preserve">Verified in Power Query</t>
  </si>
  <si>
    <t xml:space="preserve">Sales_Combined rows (calculated)</t>
  </si>
  <si>
    <t xml:space="preserve">Sheet 1 filtered + Sheet 2</t>
  </si>
  <si>
    <t xml:space="preserve">Check: combined rows</t>
  </si>
  <si>
    <t xml:space="preserve">Total Revenue, all rows (£)</t>
  </si>
  <si>
    <t xml:space="preserve">Rounded; includes charges and adjustments</t>
  </si>
  <si>
    <t xml:space="preserve">Revenue after Remove Duplicates (£)</t>
  </si>
  <si>
    <t xml:space="preserve">Rounded; 8 original columns</t>
  </si>
  <si>
    <t xml:space="preserve">Revenue carried by duplicates (£)</t>
  </si>
  <si>
    <t xml:space="preserve">Calculated</t>
  </si>
  <si>
    <t xml:space="preserve">Rows after Remove Duplicates</t>
  </si>
  <si>
    <t xml:space="preserve">Exact duplicate rows</t>
  </si>
  <si>
    <t xml:space="preserve">Duplicate share of rows</t>
  </si>
  <si>
    <t xml:space="preserve">Duplicate share of revenue</t>
  </si>
  <si>
    <t xml:space="preserve">Rows with empty CustomerID</t>
  </si>
  <si>
    <t xml:space="preserve">Power Query column profile (entire data set)</t>
  </si>
  <si>
    <t xml:space="preserve">Share of rows with empty CustomerID</t>
  </si>
  <si>
    <t xml:space="preserve">Cancellation ('C') invoice lines</t>
  </si>
  <si>
    <t xml:space="preserve">Verified</t>
  </si>
  <si>
    <t xml:space="preserve">Rows with price = 0</t>
  </si>
  <si>
    <t xml:space="preserve">Rows with price &lt; 0</t>
  </si>
  <si>
    <t xml:space="preserve">Verified: all 'Adjust bad debt'</t>
  </si>
  <si>
    <t xml:space="preserve">Rows with quantity &lt; 0</t>
  </si>
  <si>
    <t xml:space="preserve">Distinct StockCode (raw)</t>
  </si>
  <si>
    <t xml:space="preserve">Power Query column profile</t>
  </si>
  <si>
    <t xml:space="preserve">Distinct StockCode (upper-cased)</t>
  </si>
  <si>
    <t xml:space="preserve">Distinct Country values</t>
  </si>
  <si>
    <t xml:space="preserve">Power Query Group By</t>
  </si>
  <si>
    <t xml:space="preserve">Distinct StockCode after trim (R05b)</t>
  </si>
  <si>
    <t xml:space="preserve">dim_product rows in MySQL and Power BI</t>
  </si>
  <si>
    <t xml:space="preserve">Export CSV file size (bytes)</t>
  </si>
  <si>
    <t xml:space="preserve">sales_clean.csv, about 124 MB</t>
  </si>
  <si>
    <t xml:space="preserve">Sale rows: minimum Quantity</t>
  </si>
  <si>
    <t xml:space="preserve">Phase 4 purity check</t>
  </si>
  <si>
    <t xml:space="preserve">Sale rows: minimum Price</t>
  </si>
  <si>
    <t xml:space="preserve">Phase 4 purity check (17 rows at £0.001)</t>
  </si>
  <si>
    <t xml:space="preserve">Invoice prefix reconciliation</t>
  </si>
  <si>
    <t xml:space="preserve">Prefix</t>
  </si>
  <si>
    <t xml:space="preserve">Rows</t>
  </si>
  <si>
    <t xml:space="preserve">Meaning</t>
  </si>
  <si>
    <t xml:space="preserve">4</t>
  </si>
  <si>
    <t xml:space="preserve">Regular sales invoice</t>
  </si>
  <si>
    <t xml:space="preserve">5</t>
  </si>
  <si>
    <t xml:space="preserve">C</t>
  </si>
  <si>
    <t xml:space="preserve">Cancellation</t>
  </si>
  <si>
    <t xml:space="preserve">A</t>
  </si>
  <si>
    <t xml:space="preserve">Accounting adjustment</t>
  </si>
  <si>
    <t xml:space="preserve">Total</t>
  </si>
  <si>
    <t xml:space="preserve">RowType reconciliation (Stg_Sales)</t>
  </si>
  <si>
    <t xml:space="preserve">RowType</t>
  </si>
  <si>
    <t xml:space="preserve">Note</t>
  </si>
  <si>
    <t xml:space="preserve">Sale</t>
  </si>
  <si>
    <t xml:space="preserve">97.15% of rows</t>
  </si>
  <si>
    <t xml:space="preserve">C invoices not caught by charge rules</t>
  </si>
  <si>
    <t xml:space="preserve">StockAdjustment</t>
  </si>
  <si>
    <t xml:space="preserve">Price 0, no customer</t>
  </si>
  <si>
    <t xml:space="preserve">NonProductCharge</t>
  </si>
  <si>
    <t xml:space="preserve">Postage, fees, Manual, discount, samples, packing charge, tests</t>
  </si>
  <si>
    <t xml:space="preserve">GiftVoucher</t>
  </si>
  <si>
    <t xml:space="preserve">gift_ codes</t>
  </si>
  <si>
    <t xml:space="preserve">ZeroPriceItem</t>
  </si>
  <si>
    <t xml:space="preserve">Price 0, has customer</t>
  </si>
  <si>
    <t xml:space="preserve">AccountingEntry</t>
  </si>
  <si>
    <t xml:space="preserve">A invoices</t>
  </si>
  <si>
    <t xml:space="preserve">Sale share of rows</t>
  </si>
  <si>
    <t xml:space="preserve">Metric</t>
  </si>
  <si>
    <t xml:space="preserve">Definition / note</t>
  </si>
  <si>
    <t xml:space="preserve">Script</t>
  </si>
  <si>
    <t xml:space="preserve">Gross Sales (£)</t>
  </si>
  <si>
    <t xml:space="preserve">SUM(revenue) where row_type = Sale</t>
  </si>
  <si>
    <t xml:space="preserve">05</t>
  </si>
  <si>
    <t xml:space="preserve">Cancellations (£)</t>
  </si>
  <si>
    <t xml:space="preserve">SUM(revenue) where row_type = Cancellation</t>
  </si>
  <si>
    <t xml:space="preserve">Net Product Revenue (£)</t>
  </si>
  <si>
    <t xml:space="preserve">Gross Sales + Cancellations (headline KPI)</t>
  </si>
  <si>
    <t xml:space="preserve">Cancellation rate (% of Gross Sales)</t>
  </si>
  <si>
    <t xml:space="preserve">Includes the two giant reversed orders</t>
  </si>
  <si>
    <t xml:space="preserve">Giant reversed sale 1 (£)</t>
  </si>
  <si>
    <t xml:space="preserve">Invoice 581483 / C581484: 80,995 units at 2.08</t>
  </si>
  <si>
    <t xml:space="preserve">04</t>
  </si>
  <si>
    <t xml:space="preserve">Giant reversed sale 2 (£)</t>
  </si>
  <si>
    <t xml:space="preserve">Invoice 541431 / C541433: 74,215 units at 1.04</t>
  </si>
  <si>
    <t xml:space="preserve">Cancellation rate excl. the two giant pairs</t>
  </si>
  <si>
    <t xml:space="preserve">Same formula with both pairs removed from numerator and denominator</t>
  </si>
  <si>
    <t xml:space="preserve">UK net product revenue (£)</t>
  </si>
  <si>
    <t xml:space="preserve">standard_country = United Kingdom</t>
  </si>
  <si>
    <t xml:space="preserve">07</t>
  </si>
  <si>
    <t xml:space="preserve">UK share of Net Product Revenue</t>
  </si>
  <si>
    <t xml:space="preserve">Identified-customer revenue (£)</t>
  </si>
  <si>
    <t xml:space="preserve">Sale + Cancellation rows with a customer_id</t>
  </si>
  <si>
    <t xml:space="preserve">08</t>
  </si>
  <si>
    <t xml:space="preserve">Unidentified revenue (£)</t>
  </si>
  <si>
    <t xml:space="preserve">Sale + Cancellation rows with no customer_id</t>
  </si>
  <si>
    <t xml:space="preserve">Unidentified share of Net Product Revenue</t>
  </si>
  <si>
    <t xml:space="preserve">Top 10 customers' revenue (£)</t>
  </si>
  <si>
    <t xml:space="preserve">Sum of the ten largest customers</t>
  </si>
  <si>
    <t xml:space="preserve">Top 10 share of identified revenue</t>
  </si>
  <si>
    <t xml:space="preserve">Customers with Sale rows</t>
  </si>
  <si>
    <t xml:space="preserve">Distinct customer_id with at least one Sale row</t>
  </si>
  <si>
    <t xml:space="preserve">Customers with exactly 1 order</t>
  </si>
  <si>
    <t xml:space="preserve">Distinct Sale invoices per customer</t>
  </si>
  <si>
    <t xml:space="preserve">Repeat customer rate</t>
  </si>
  <si>
    <t xml:space="preserve">Customers with 2+ Sale invoices. Not a retention rate</t>
  </si>
  <si>
    <t xml:space="preserve">Customers with 11+ orders</t>
  </si>
  <si>
    <t xml:space="preserve">Sale revenue from 11+ order customers (£)</t>
  </si>
  <si>
    <t xml:space="preserve">Of 17,124,835.99 Sale revenue from identified customers</t>
  </si>
  <si>
    <t xml:space="preserve">Share of identified Sale revenue from 11+ order customers</t>
  </si>
  <si>
    <t xml:space="preserve">Top 10 products' revenue (£)</t>
  </si>
  <si>
    <t xml:space="preserve">By stock_code</t>
  </si>
  <si>
    <t xml:space="preserve">09</t>
  </si>
  <si>
    <t xml:space="preserve">Top 10 products' share of Net Product Revenue</t>
  </si>
  <si>
    <t xml:space="preserve">Orders (distinct Sale invoices)</t>
  </si>
  <si>
    <t xml:space="preserve">10</t>
  </si>
  <si>
    <t xml:space="preserve">Mean AOV (£)</t>
  </si>
  <si>
    <t xml:space="preserve">Gross Sales / orders</t>
  </si>
  <si>
    <t xml:space="preserve">Median AOV (£)</t>
  </si>
  <si>
    <t xml:space="preserve">Typical order; the mean is pulled up by large orders</t>
  </si>
  <si>
    <t xml:space="preserve">Mean AOV excl. quick-reversal invoices (£)</t>
  </si>
  <si>
    <t xml:space="preserve">Drops whole invoices that contain a flagged line</t>
  </si>
  <si>
    <t xml:space="preserve">Net revenue Jan-Nov 2010 (£)</t>
  </si>
  <si>
    <t xml:space="preserve">From the monthly table</t>
  </si>
  <si>
    <t xml:space="preserve">06</t>
  </si>
  <si>
    <t xml:space="preserve">Net revenue Jan-Nov 2011 (£)</t>
  </si>
  <si>
    <t xml:space="preserve">From the monthly table; Dec 2011 excluded (partial)</t>
  </si>
  <si>
    <t xml:space="preserve">Growth Jan-Nov 2011 vs 2010</t>
  </si>
  <si>
    <t xml:space="preserve">Two years only; not a trend</t>
  </si>
  <si>
    <t xml:space="preserve">Object</t>
  </si>
  <si>
    <t xml:space="preserve">Type</t>
  </si>
  <si>
    <t xml:space="preserve">Grain (one row =)</t>
  </si>
  <si>
    <t xml:space="preserve">Key</t>
  </si>
  <si>
    <t xml:space="preserve">Notes</t>
  </si>
  <si>
    <t xml:space="preserve">fact_sales</t>
  </si>
  <si>
    <t xml:space="preserve">Fact (view over stg_sales)</t>
  </si>
  <si>
    <t xml:space="preserve">One invoice line</t>
  </si>
  <si>
    <t xml:space="preserve">line_id</t>
  </si>
  <si>
    <t xml:space="preserve">Columns: invoice, stock_code, customer_id, standard_country, row_type, invoice_date, invoice_day, quantity, price, revenue, is_duplicate, is_quick_reversal. Orders = distinct invoice.</t>
  </si>
  <si>
    <t xml:space="preserve">dim_product</t>
  </si>
  <si>
    <t xml:space="preserve">Dimension</t>
  </si>
  <si>
    <t xml:space="preserve">One stock code</t>
  </si>
  <si>
    <t xml:space="preserve">stock_code</t>
  </si>
  <si>
    <t xml:space="preserve">5,131 after R05b. product_name = most frequent description among Sale rows, ties by most recent (R11). 407 codes unnamed; product_label is never blank (R17).</t>
  </si>
  <si>
    <t xml:space="preserve">dim_customer</t>
  </si>
  <si>
    <t xml:space="preserve">One customer</t>
  </si>
  <si>
    <t xml:space="preserve">customer_id</t>
  </si>
  <si>
    <t xml:space="preserve">One country per customer (R13). n_countries shows the 13 customers seen in 2 countries. Fact rows with no customer_id (22.5% of rows) have no match.</t>
  </si>
  <si>
    <t xml:space="preserve">dim_country</t>
  </si>
  <si>
    <t xml:space="preserve">One standardized country</t>
  </si>
  <si>
    <t xml:space="preserve">standard_country</t>
  </si>
  <si>
    <t xml:space="preserve">map_ready = 0 for Unspecified, European Community, West Indies, Channel Islands (R12).</t>
  </si>
  <si>
    <t xml:space="preserve">dim_row_type</t>
  </si>
  <si>
    <t xml:space="preserve">One row type</t>
  </si>
  <si>
    <t xml:space="preserve">row_type</t>
  </si>
  <si>
    <t xml:space="preserve">in_net_product_revenue and in_orders record which row types count toward each KPI.</t>
  </si>
  <si>
    <t xml:space="preserve">dim_date</t>
  </si>
  <si>
    <t xml:space="preserve">Dimension (built in Power BI, DAX)</t>
  </si>
  <si>
    <t xml:space="preserve">One calendar day</t>
  </si>
  <si>
    <t xml:space="preserve">date</t>
  </si>
  <si>
    <t xml:space="preserve">To be built in Phase 7; relates to fact_sales[invoice_day].</t>
  </si>
  <si>
    <t xml:space="preserve">Relationships (all one-to-many; filter flows from the dimension to the fact)</t>
  </si>
  <si>
    <t xml:space="preserve">Dimension key</t>
  </si>
  <si>
    <t xml:space="preserve">Fact column</t>
  </si>
  <si>
    <t xml:space="preserve">Cardinality</t>
  </si>
  <si>
    <t xml:space="preserve">Orphan fact rows</t>
  </si>
  <si>
    <t xml:space="preserve">dim_product[stock_code]</t>
  </si>
  <si>
    <t xml:space="preserve">fact_sales[stock_code]</t>
  </si>
  <si>
    <t xml:space="preserve">1 : many</t>
  </si>
  <si>
    <t xml:space="preserve">dim_customer[customer_id]</t>
  </si>
  <si>
    <t xml:space="preserve">fact_sales[customer_id]</t>
  </si>
  <si>
    <t xml:space="preserve">Rows with a NULL customer_id are not counted as orphans</t>
  </si>
  <si>
    <t xml:space="preserve">dim_country[standard_country]</t>
  </si>
  <si>
    <t xml:space="preserve">fact_sales[standard_country]</t>
  </si>
  <si>
    <t xml:space="preserve">dim_row_type[row_type]</t>
  </si>
  <si>
    <t xml:space="preserve">fact_sales[row_type]</t>
  </si>
  <si>
    <t xml:space="preserve">dim_date[date]</t>
  </si>
  <si>
    <t xml:space="preserve">fact_sales[invoice_day]</t>
  </si>
  <si>
    <t xml:space="preserve">Phase 7</t>
  </si>
  <si>
    <t xml:space="preserve">Table</t>
  </si>
  <si>
    <t xml:space="preserve">Column</t>
  </si>
  <si>
    <t xml:space="preserve">Description</t>
  </si>
  <si>
    <t xml:space="preserve">Data type</t>
  </si>
  <si>
    <t xml:space="preserve">Example</t>
  </si>
  <si>
    <t xml:space="preserve">Nullable</t>
  </si>
  <si>
    <t xml:space="preserve">Source / derivation</t>
  </si>
  <si>
    <t xml:space="preserve">Quality issues and handling</t>
  </si>
  <si>
    <t xml:space="preserve">Unique row identifier (1 to 1,044,848), in source order</t>
  </si>
  <si>
    <t xml:space="preserve">Integer</t>
  </si>
  <si>
    <t xml:space="preserve">1</t>
  </si>
  <si>
    <t xml:space="preserve">Primary key</t>
  </si>
  <si>
    <t xml:space="preserve">No</t>
  </si>
  <si>
    <t xml:space="preserve">Created in Power Query (Index column)</t>
  </si>
  <si>
    <t xml:space="preserve">None. A leftover descending sort once scrambled it (R16)</t>
  </si>
  <si>
    <t xml:space="preserve">invoice</t>
  </si>
  <si>
    <t xml:space="preserve">Order number. Prefix 4 or 5 = sale, C = cancellation, A = accounting adjustment</t>
  </si>
  <si>
    <t xml:space="preserve">Text</t>
  </si>
  <si>
    <t xml:space="preserve">489434</t>
  </si>
  <si>
    <t xml:space="preserve">UCI Invoice</t>
  </si>
  <si>
    <t xml:space="preserve">Count orders as DISTINCT invoice, never rows. 3 prefixes (R02)</t>
  </si>
  <si>
    <t xml:space="preserve">Product code</t>
  </si>
  <si>
    <t xml:space="preserve">85123A</t>
  </si>
  <si>
    <t xml:space="preserve">Foreign key to dim_product</t>
  </si>
  <si>
    <t xml:space="preserve">UCI StockCode, upper-cased and trimmed</t>
  </si>
  <si>
    <t xml:space="preserve">173 case variants (R05); 1 trailing space (R05b); 70 or so non-product codes (R03)</t>
  </si>
  <si>
    <t xml:space="preserve">Customer number</t>
  </si>
  <si>
    <t xml:space="preserve">13085</t>
  </si>
  <si>
    <t xml:space="preserve">Foreign key to dim_customer</t>
  </si>
  <si>
    <t xml:space="preserve">Yes (22.5% of rows)</t>
  </si>
  <si>
    <t xml:space="preserve">UCI Customer ID</t>
  </si>
  <si>
    <t xml:space="preserve">Left NULL, never imputed. Customer measures cover 86.5% of net revenue</t>
  </si>
  <si>
    <t xml:space="preserve">Customer country with old names standardized</t>
  </si>
  <si>
    <t xml:space="preserve">Ireland</t>
  </si>
  <si>
    <t xml:space="preserve">Foreign key to dim_country</t>
  </si>
  <si>
    <t xml:space="preserve">Derived from UCI Country (EIRE to Ireland, RSA to South Africa, USA to United States, Korea to South Korea)</t>
  </si>
  <si>
    <t xml:space="preserve">Korea assumed to be South Korea (O2)</t>
  </si>
  <si>
    <t xml:space="preserve">What kind of row this is: Sale, Cancellation, NonProductCharge, GiftVoucher, AccountingEntry, StockAdjustment, ZeroPriceItem</t>
  </si>
  <si>
    <t xml:space="preserve">Foreign key to dim_row_type</t>
  </si>
  <si>
    <t xml:space="preserve">Derived in Power Query (rules R02 to R09, first match wins)</t>
  </si>
  <si>
    <t xml:space="preserve">Decides which KPI uses the row</t>
  </si>
  <si>
    <t xml:space="preserve">invoice_date</t>
  </si>
  <si>
    <t xml:space="preserve">Date and time the line was invoiced</t>
  </si>
  <si>
    <t xml:space="preserve">DateTime</t>
  </si>
  <si>
    <t xml:space="preserve">2009-12-01 07:45:00</t>
  </si>
  <si>
    <t xml:space="preserve">UCI InvoiceDate</t>
  </si>
  <si>
    <t xml:space="preserve">Dropped from the Power BI model (47,635 distinct values); invoice_day is used instead</t>
  </si>
  <si>
    <t xml:space="preserve">invoice_day</t>
  </si>
  <si>
    <t xml:space="preserve">Date of the invoice (no time)</t>
  </si>
  <si>
    <t xml:space="preserve">Date</t>
  </si>
  <si>
    <t xml:space="preserve">2009-12-01</t>
  </si>
  <si>
    <t xml:space="preserve">Relates to dim_date[Date]</t>
  </si>
  <si>
    <t xml:space="preserve">Derived: DATE(invoice_date)</t>
  </si>
  <si>
    <t xml:space="preserve">Data runs 1 Dec 2009 to 9 Dec 2011; Dec 2011 is partial</t>
  </si>
  <si>
    <t xml:space="preserve">quantity</t>
  </si>
  <si>
    <t xml:space="preserve">Units on the line</t>
  </si>
  <si>
    <t xml:space="preserve">12</t>
  </si>
  <si>
    <t xml:space="preserve">UCI Quantity</t>
  </si>
  <si>
    <t xml:space="preserve">Negative on cancellations and write-offs; extremes of plus or minus 80,995 (R14)</t>
  </si>
  <si>
    <t xml:space="preserve">price</t>
  </si>
  <si>
    <t xml:space="preserve">Unit price in GBP</t>
  </si>
  <si>
    <t xml:space="preserve">Decimal(12,3)</t>
  </si>
  <si>
    <t xml:space="preserve">6.950</t>
  </si>
  <si>
    <t xml:space="preserve">UCI Price</t>
  </si>
  <si>
    <t xml:space="preserve">6,024 rows at 0; 17 Sale rows at 0.001 (R15); 5 negative bad-debt entries; verified as unit price on 3 products (O3)</t>
  </si>
  <si>
    <t xml:space="preserve">revenue</t>
  </si>
  <si>
    <t xml:space="preserve">Quantity times price</t>
  </si>
  <si>
    <t xml:space="preserve">Decimal(14,3)</t>
  </si>
  <si>
    <t xml:space="preserve">83.400</t>
  </si>
  <si>
    <t xml:space="preserve">Derived in Power Query</t>
  </si>
  <si>
    <t xml:space="preserve">Floating-point residue removed by rounding to 3 decimals</t>
  </si>
  <si>
    <t xml:space="preserve">is_duplicate</t>
  </si>
  <si>
    <t xml:space="preserve">1 if the row repeats an earlier row exactly (all 8 original columns)</t>
  </si>
  <si>
    <t xml:space="preserve">Flag 0/1</t>
  </si>
  <si>
    <t xml:space="preserve">0</t>
  </si>
  <si>
    <t xml:space="preserve">Derived in MySQL (04_flags.sql)</t>
  </si>
  <si>
    <t xml:space="preserve">11,812 rows, £54,228.42 (R07). Flag only; no measure uses it yet</t>
  </si>
  <si>
    <t xml:space="preserve">is_quick_reversal</t>
  </si>
  <si>
    <t xml:space="preserve">1 if the row is part of a sale cancelled by the same customer within 24 hours</t>
  </si>
  <si>
    <t xml:space="preserve">1,429 sale lines and 1,351 cancellation lines (R14). 24-hour window is an assumption</t>
  </si>
  <si>
    <t xml:space="preserve">5,131 codes (after R05b)</t>
  </si>
  <si>
    <t xml:space="preserve">product_name</t>
  </si>
  <si>
    <t xml:space="preserve">Most frequent description among Sale rows; ties broken by most recent</t>
  </si>
  <si>
    <t xml:space="preserve">WHITE HANGING HEART T-LIGHT HOLDER</t>
  </si>
  <si>
    <t xml:space="preserve">Yes (407 codes)</t>
  </si>
  <si>
    <t xml:space="preserve">Derived in MySQL (11_data_model.sql)</t>
  </si>
  <si>
    <t xml:space="preserve">Never taken from adjustment notes (R11, R17)</t>
  </si>
  <si>
    <t xml:space="preserve">product_label</t>
  </si>
  <si>
    <t xml:space="preserve">product_name, or the stock code if there is no name</t>
  </si>
  <si>
    <t xml:space="preserve">POST</t>
  </si>
  <si>
    <t xml:space="preserve">Derived</t>
  </si>
  <si>
    <t xml:space="preserve">Used on charts so no bar is (Blank)</t>
  </si>
  <si>
    <t xml:space="preserve">has_sales</t>
  </si>
  <si>
    <t xml:space="preserve">1 if the code has a product name</t>
  </si>
  <si>
    <t xml:space="preserve">4,724 named, 407 unnamed</t>
  </si>
  <si>
    <t xml:space="preserve">14646</t>
  </si>
  <si>
    <t xml:space="preserve">5,942 customers</t>
  </si>
  <si>
    <t xml:space="preserve">The customer's most frequent country, ties broken by most recent</t>
  </si>
  <si>
    <t xml:space="preserve">Netherlands</t>
  </si>
  <si>
    <t xml:space="preserve">Derived in MySQL (R13)</t>
  </si>
  <si>
    <t xml:space="preserve">Revenue by country still uses the country on each fact row</t>
  </si>
  <si>
    <t xml:space="preserve">n_countries</t>
  </si>
  <si>
    <t xml:space="preserve">How many countries the customer appeared in</t>
  </si>
  <si>
    <t xml:space="preserve">13 customers have 2</t>
  </si>
  <si>
    <t xml:space="preserve">Order Bucket</t>
  </si>
  <si>
    <t xml:space="preserve">Customer's total number of Sale orders, grouped (1, 2-5, 6-10, 11+)</t>
  </si>
  <si>
    <t xml:space="preserve">11+ orders</t>
  </si>
  <si>
    <t xml:space="preserve">Calculated column in Power BI (DAX)</t>
  </si>
  <si>
    <t xml:space="preserve">All-time; ignores the year slicer</t>
  </si>
  <si>
    <t xml:space="preserve">Country name</t>
  </si>
  <si>
    <t xml:space="preserve">United Kingdom</t>
  </si>
  <si>
    <t xml:space="preserve">43 values</t>
  </si>
  <si>
    <t xml:space="preserve">map_ready</t>
  </si>
  <si>
    <t xml:space="preserve">0 for values that are not countries</t>
  </si>
  <si>
    <t xml:space="preserve">0 for Unspecified, European Community, West Indies, Channel Islands (2,518 rows, 0.29% of net revenue)</t>
  </si>
  <si>
    <t xml:space="preserve">Row type name</t>
  </si>
  <si>
    <t xml:space="preserve">Defined in 11_data_model.sql</t>
  </si>
  <si>
    <t xml:space="preserve">7 values</t>
  </si>
  <si>
    <t xml:space="preserve">description</t>
  </si>
  <si>
    <t xml:space="preserve">What the row type means</t>
  </si>
  <si>
    <t xml:space="preserve">Normal sale line</t>
  </si>
  <si>
    <t xml:space="preserve">Defined by hand</t>
  </si>
  <si>
    <t xml:space="preserve">in_net_product_revenue</t>
  </si>
  <si>
    <t xml:space="preserve">1 if the type counts toward Net Product Revenue</t>
  </si>
  <si>
    <t xml:space="preserve">Sale and Cancellation only</t>
  </si>
  <si>
    <t xml:space="preserve">in_orders</t>
  </si>
  <si>
    <t xml:space="preserve">1 if the type counts as an order</t>
  </si>
  <si>
    <t xml:space="preserve">Sale only</t>
  </si>
  <si>
    <t xml:space="preserve">Calendar day, 1 Dec 2009 to 31 Dec 2011</t>
  </si>
  <si>
    <t xml:space="preserve">2010-11-01</t>
  </si>
  <si>
    <t xml:space="preserve">DAX (CALENDAR)</t>
  </si>
  <si>
    <t xml:space="preserve">761 days; marked as the date table</t>
  </si>
  <si>
    <t xml:space="preserve">Year, Month number, Month name, Year-month</t>
  </si>
  <si>
    <t xml:space="preserve">Date parts</t>
  </si>
  <si>
    <t xml:space="preserve">Number / Text</t>
  </si>
  <si>
    <t xml:space="preserve">2010, 11, Nov, 2010-11</t>
  </si>
  <si>
    <t xml:space="preserve">DAX</t>
  </si>
  <si>
    <t xml:space="preserve">Month name is sorted by Month number</t>
  </si>
  <si>
    <t xml:space="preserve">Complete month</t>
  </si>
  <si>
    <t xml:space="preserve">Complete, or Partial if the month ends after the last data date</t>
  </si>
  <si>
    <t xml:space="preserve">Partial</t>
  </si>
  <si>
    <t xml:space="preserve">All of December 2011 is Partial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</si>
</sst>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£#,##0.00"/>
    <numFmt numFmtId="167" formatCode="0.00%"/>
    <numFmt numFmtId="168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CD5B4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1F4E7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leaningLog" displayName="CleaningLog" ref="A1:H23" headerRowCount="1" totalsRowCount="0" totalsRowShown="0">
  <autoFilter ref="A1:H23"/>
  <tableColumns count="8">
    <tableColumn id="1" name="ID"/>
    <tableColumn id="2" name="Problem"/>
    <tableColumn id="3" name="Decision"/>
    <tableColumn id="4" name="Validation check"/>
    <tableColumn id="5" name="Evidence (profiling)"/>
    <tableColumn id="6" name="Phase 4 result"/>
    <tableColumn id="7" name="Match?"/>
    <tableColumn id="8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48"/>
    <col collapsed="false" customWidth="true" hidden="false" outlineLevel="0" max="4" min="4" style="0" width="36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0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</row>
    <row r="2" customFormat="false" ht="44.25" hidden="false" customHeight="true" outlineLevel="0" collapsed="false">
      <c r="A2" s="3" t="s">
        <v>23</v>
      </c>
      <c r="B2" s="2" t="s">
        <v>24</v>
      </c>
      <c r="C2" s="2" t="s">
        <v>25</v>
      </c>
      <c r="D2" s="2" t="s">
        <v>26</v>
      </c>
      <c r="E2" s="5" t="n">
        <v>1044848</v>
      </c>
      <c r="F2" s="6" t="n">
        <v>1044848</v>
      </c>
      <c r="G2" s="7" t="str">
        <f aca="false">IF(F2="","",IF(E2=F2,"Match","Mismatch"))</f>
        <v>Match</v>
      </c>
      <c r="H2" s="2" t="s">
        <v>27</v>
      </c>
    </row>
    <row r="3" customFormat="false" ht="30.75" hidden="false" customHeight="true" outlineLevel="0" collapsed="false">
      <c r="A3" s="3" t="s">
        <v>28</v>
      </c>
      <c r="B3" s="2" t="s">
        <v>29</v>
      </c>
      <c r="C3" s="2" t="s">
        <v>30</v>
      </c>
      <c r="D3" s="2" t="s">
        <v>31</v>
      </c>
      <c r="E3" s="5" t="n">
        <v>6</v>
      </c>
      <c r="F3" s="6" t="n">
        <v>6</v>
      </c>
      <c r="G3" s="7" t="str">
        <f aca="false">IF(F3="","",IF(E3=F3,"Match","Mismatch"))</f>
        <v>Match</v>
      </c>
      <c r="H3" s="2" t="s">
        <v>27</v>
      </c>
    </row>
    <row r="4" customFormat="false" ht="57.75" hidden="false" customHeight="true" outlineLevel="0" collapsed="false">
      <c r="A4" s="3" t="s">
        <v>32</v>
      </c>
      <c r="B4" s="2" t="s">
        <v>33</v>
      </c>
      <c r="C4" s="2" t="s">
        <v>34</v>
      </c>
      <c r="D4" s="2" t="s">
        <v>35</v>
      </c>
      <c r="E4" s="5" t="n">
        <v>5992</v>
      </c>
      <c r="F4" s="6"/>
      <c r="G4" s="7" t="str">
        <f aca="false">IF(F4="","",IF(E4=F4,"Match","Mismatch"))</f>
        <v/>
      </c>
      <c r="H4" s="2" t="s">
        <v>27</v>
      </c>
    </row>
    <row r="5" customFormat="false" ht="30.75" hidden="false" customHeight="true" outlineLevel="0" collapsed="false">
      <c r="A5" s="3" t="s">
        <v>36</v>
      </c>
      <c r="B5" s="2" t="s">
        <v>37</v>
      </c>
      <c r="C5" s="2" t="s">
        <v>38</v>
      </c>
      <c r="D5" s="2" t="s">
        <v>39</v>
      </c>
      <c r="E5" s="5" t="n">
        <v>3393</v>
      </c>
      <c r="F5" s="6"/>
      <c r="G5" s="7" t="str">
        <f aca="false">IF(F5="","",IF(E5=F5,"Match","Mismatch"))</f>
        <v/>
      </c>
      <c r="H5" s="2" t="s">
        <v>27</v>
      </c>
    </row>
    <row r="6" customFormat="false" ht="30.75" hidden="false" customHeight="true" outlineLevel="0" collapsed="false">
      <c r="A6" s="3" t="s">
        <v>40</v>
      </c>
      <c r="B6" s="2" t="s">
        <v>41</v>
      </c>
      <c r="C6" s="2" t="s">
        <v>42</v>
      </c>
      <c r="D6" s="2" t="s">
        <v>43</v>
      </c>
      <c r="E6" s="5" t="n">
        <v>5132</v>
      </c>
      <c r="F6" s="6" t="n">
        <v>5132</v>
      </c>
      <c r="G6" s="7" t="str">
        <f aca="false">IF(F6="","",IF(E6=F6,"Match","Mismatch"))</f>
        <v>Match</v>
      </c>
      <c r="H6" s="2" t="s">
        <v>27</v>
      </c>
    </row>
    <row r="7" customFormat="false" ht="71.25" hidden="false" customHeight="true" outlineLevel="0" collapsed="false">
      <c r="A7" s="3" t="s">
        <v>44</v>
      </c>
      <c r="B7" s="2" t="s">
        <v>45</v>
      </c>
      <c r="C7" s="2" t="s">
        <v>46</v>
      </c>
      <c r="D7" s="2" t="s">
        <v>47</v>
      </c>
      <c r="E7" s="5" t="n">
        <v>5131</v>
      </c>
      <c r="F7" s="6" t="n">
        <v>5131</v>
      </c>
      <c r="G7" s="7" t="str">
        <f aca="false">IF(F7="","",IF(E7=F7,"Match","Mismatch"))</f>
        <v>Match</v>
      </c>
      <c r="H7" s="2" t="s">
        <v>27</v>
      </c>
    </row>
    <row r="8" customFormat="false" ht="30.75" hidden="false" customHeight="true" outlineLevel="0" collapsed="false">
      <c r="A8" s="3" t="s">
        <v>48</v>
      </c>
      <c r="B8" s="2" t="s">
        <v>49</v>
      </c>
      <c r="C8" s="2" t="s">
        <v>50</v>
      </c>
      <c r="D8" s="2" t="s">
        <v>51</v>
      </c>
      <c r="E8" s="5" t="n">
        <v>1403</v>
      </c>
      <c r="F8" s="6"/>
      <c r="G8" s="7" t="str">
        <f aca="false">IF(F8="","",IF(E8=F8,"Match","Mismatch"))</f>
        <v/>
      </c>
      <c r="H8" s="2" t="s">
        <v>27</v>
      </c>
    </row>
    <row r="9" customFormat="false" ht="30.75" hidden="false" customHeight="true" outlineLevel="0" collapsed="false">
      <c r="A9" s="3" t="s">
        <v>52</v>
      </c>
      <c r="B9" s="2" t="s">
        <v>53</v>
      </c>
      <c r="C9" s="2" t="s">
        <v>54</v>
      </c>
      <c r="D9" s="2" t="s">
        <v>55</v>
      </c>
      <c r="E9" s="5" t="n">
        <v>11812</v>
      </c>
      <c r="F9" s="6" t="n">
        <v>11812</v>
      </c>
      <c r="G9" s="7" t="str">
        <f aca="false">IF(F9="","",IF(E9=F9,"Match","Mismatch"))</f>
        <v>Match</v>
      </c>
      <c r="H9" s="2" t="s">
        <v>27</v>
      </c>
    </row>
    <row r="10" customFormat="false" ht="44.25" hidden="false" customHeight="true" outlineLevel="0" collapsed="false">
      <c r="A10" s="3" t="s">
        <v>56</v>
      </c>
      <c r="B10" s="2" t="s">
        <v>57</v>
      </c>
      <c r="C10" s="2" t="s">
        <v>58</v>
      </c>
      <c r="D10" s="2" t="s">
        <v>59</v>
      </c>
      <c r="E10" s="5" t="n">
        <v>16</v>
      </c>
      <c r="F10" s="6"/>
      <c r="G10" s="7" t="str">
        <f aca="false">IF(F10="","",IF(E10=F10,"Match","Mismatch"))</f>
        <v/>
      </c>
      <c r="H10" s="2" t="s">
        <v>27</v>
      </c>
    </row>
    <row r="11" customFormat="false" ht="57.75" hidden="false" customHeight="true" outlineLevel="0" collapsed="false">
      <c r="A11" s="3" t="s">
        <v>60</v>
      </c>
      <c r="B11" s="2" t="s">
        <v>61</v>
      </c>
      <c r="C11" s="2" t="s">
        <v>62</v>
      </c>
      <c r="D11" s="2" t="s">
        <v>63</v>
      </c>
      <c r="E11" s="5" t="n">
        <v>6024</v>
      </c>
      <c r="F11" s="6"/>
      <c r="G11" s="7" t="str">
        <f aca="false">IF(F11="","",IF(E11=F11,"Match","Mismatch"))</f>
        <v/>
      </c>
      <c r="H11" s="2" t="s">
        <v>27</v>
      </c>
    </row>
    <row r="12" customFormat="false" ht="30.75" hidden="false" customHeight="true" outlineLevel="0" collapsed="false">
      <c r="A12" s="3" t="s">
        <v>64</v>
      </c>
      <c r="B12" s="2" t="s">
        <v>65</v>
      </c>
      <c r="C12" s="2" t="s">
        <v>66</v>
      </c>
      <c r="D12" s="2" t="s">
        <v>67</v>
      </c>
      <c r="E12" s="5" t="n">
        <v>5655</v>
      </c>
      <c r="F12" s="6" t="n">
        <v>5655</v>
      </c>
      <c r="G12" s="7" t="str">
        <f aca="false">IF(F12="","",IF(E12=F12,"Match","Mismatch"))</f>
        <v>Match</v>
      </c>
      <c r="H12" s="2" t="s">
        <v>27</v>
      </c>
    </row>
    <row r="13" customFormat="false" ht="57.75" hidden="false" customHeight="true" outlineLevel="0" collapsed="false">
      <c r="A13" s="3" t="s">
        <v>68</v>
      </c>
      <c r="B13" s="2" t="s">
        <v>69</v>
      </c>
      <c r="C13" s="2" t="s">
        <v>70</v>
      </c>
      <c r="D13" s="2" t="s">
        <v>71</v>
      </c>
      <c r="E13" s="5"/>
      <c r="F13" s="6"/>
      <c r="G13" s="7" t="str">
        <f aca="false">IF(F13="","",IF(E13=F13,"Match","Mismatch"))</f>
        <v/>
      </c>
      <c r="H13" s="2" t="s">
        <v>72</v>
      </c>
    </row>
    <row r="14" customFormat="false" ht="44.25" hidden="false" customHeight="true" outlineLevel="0" collapsed="false">
      <c r="A14" s="3" t="s">
        <v>73</v>
      </c>
      <c r="B14" s="2" t="s">
        <v>74</v>
      </c>
      <c r="C14" s="2" t="s">
        <v>75</v>
      </c>
      <c r="D14" s="2" t="s">
        <v>76</v>
      </c>
      <c r="E14" s="5" t="n">
        <v>43</v>
      </c>
      <c r="F14" s="6" t="n">
        <v>43</v>
      </c>
      <c r="G14" s="7" t="str">
        <f aca="false">IF(F14="","",IF(E14=F14,"Match","Mismatch"))</f>
        <v>Match</v>
      </c>
      <c r="H14" s="2" t="s">
        <v>27</v>
      </c>
    </row>
    <row r="15" customFormat="false" ht="44.25" hidden="false" customHeight="true" outlineLevel="0" collapsed="false">
      <c r="A15" s="3" t="s">
        <v>77</v>
      </c>
      <c r="B15" s="2" t="s">
        <v>78</v>
      </c>
      <c r="C15" s="2" t="s">
        <v>79</v>
      </c>
      <c r="D15" s="2" t="s">
        <v>80</v>
      </c>
      <c r="E15" s="5"/>
      <c r="F15" s="6"/>
      <c r="G15" s="7" t="str">
        <f aca="false">IF(F15="","",IF(E15=F15,"Match","Mismatch"))</f>
        <v/>
      </c>
      <c r="H15" s="2" t="s">
        <v>72</v>
      </c>
    </row>
    <row r="16" customFormat="false" ht="71.25" hidden="false" customHeight="true" outlineLevel="0" collapsed="false">
      <c r="A16" s="3" t="s">
        <v>81</v>
      </c>
      <c r="B16" s="2" t="s">
        <v>82</v>
      </c>
      <c r="C16" s="2" t="s">
        <v>83</v>
      </c>
      <c r="D16" s="2" t="s">
        <v>84</v>
      </c>
      <c r="E16" s="5" t="n">
        <v>2780</v>
      </c>
      <c r="F16" s="6" t="n">
        <v>2780</v>
      </c>
      <c r="G16" s="7" t="str">
        <f aca="false">IF(F16="","",IF(E16=F16,"Match","Mismatch"))</f>
        <v>Match</v>
      </c>
      <c r="H16" s="2" t="s">
        <v>27</v>
      </c>
    </row>
    <row r="17" customFormat="false" ht="30.75" hidden="false" customHeight="true" outlineLevel="0" collapsed="false">
      <c r="A17" s="3" t="s">
        <v>85</v>
      </c>
      <c r="B17" s="2" t="s">
        <v>86</v>
      </c>
      <c r="C17" s="2" t="s">
        <v>87</v>
      </c>
      <c r="D17" s="2" t="s">
        <v>88</v>
      </c>
      <c r="E17" s="5" t="n">
        <v>17</v>
      </c>
      <c r="F17" s="6" t="n">
        <v>17</v>
      </c>
      <c r="G17" s="7" t="str">
        <f aca="false">IF(F17="","",IF(E17=F17,"Match","Mismatch"))</f>
        <v>Match</v>
      </c>
      <c r="H17" s="2" t="s">
        <v>27</v>
      </c>
    </row>
    <row r="18" customFormat="false" ht="44.25" hidden="false" customHeight="true" outlineLevel="0" collapsed="false">
      <c r="A18" s="3" t="s">
        <v>89</v>
      </c>
      <c r="B18" s="2" t="s">
        <v>90</v>
      </c>
      <c r="C18" s="2" t="s">
        <v>91</v>
      </c>
      <c r="D18" s="2" t="s">
        <v>92</v>
      </c>
      <c r="E18" s="5"/>
      <c r="F18" s="6"/>
      <c r="G18" s="7" t="str">
        <f aca="false">IF(F18="","",IF(E18=F18,"Match","Mismatch"))</f>
        <v/>
      </c>
      <c r="H18" s="2" t="s">
        <v>27</v>
      </c>
    </row>
    <row r="19" customFormat="false" ht="57.75" hidden="false" customHeight="true" outlineLevel="0" collapsed="false">
      <c r="A19" s="3" t="s">
        <v>93</v>
      </c>
      <c r="B19" s="2" t="s">
        <v>94</v>
      </c>
      <c r="C19" s="2" t="s">
        <v>95</v>
      </c>
      <c r="D19" s="2" t="s">
        <v>96</v>
      </c>
      <c r="E19" s="5" t="n">
        <v>407</v>
      </c>
      <c r="F19" s="6" t="n">
        <v>407</v>
      </c>
      <c r="G19" s="7" t="str">
        <f aca="false">IF(F19="","",IF(E19=F19,"Match","Mismatch"))</f>
        <v>Match</v>
      </c>
      <c r="H19" s="2" t="s">
        <v>27</v>
      </c>
    </row>
    <row r="20" customFormat="false" ht="44.25" hidden="false" customHeight="true" outlineLevel="0" collapsed="false">
      <c r="A20" s="3" t="s">
        <v>97</v>
      </c>
      <c r="B20" s="2" t="s">
        <v>98</v>
      </c>
      <c r="C20" s="2" t="s">
        <v>99</v>
      </c>
      <c r="D20" s="2" t="s">
        <v>100</v>
      </c>
      <c r="E20" s="5" t="n">
        <v>5</v>
      </c>
      <c r="F20" s="6"/>
      <c r="G20" s="7" t="str">
        <f aca="false">IF(F20="","",IF(E20=F20,"Match","Mismatch"))</f>
        <v/>
      </c>
      <c r="H20" s="2" t="s">
        <v>101</v>
      </c>
    </row>
    <row r="21" customFormat="false" ht="30.75" hidden="false" customHeight="true" outlineLevel="0" collapsed="false">
      <c r="A21" s="3" t="s">
        <v>102</v>
      </c>
      <c r="B21" s="2" t="s">
        <v>103</v>
      </c>
      <c r="C21" s="2" t="s">
        <v>104</v>
      </c>
      <c r="D21" s="2" t="s">
        <v>105</v>
      </c>
      <c r="E21" s="5" t="n">
        <v>63</v>
      </c>
      <c r="F21" s="6"/>
      <c r="G21" s="7" t="str">
        <f aca="false">IF(F21="","",IF(E21=F21,"Match","Mismatch"))</f>
        <v/>
      </c>
      <c r="H21" s="2" t="s">
        <v>101</v>
      </c>
    </row>
    <row r="22" customFormat="false" ht="84.75" hidden="false" customHeight="true" outlineLevel="0" collapsed="false">
      <c r="A22" s="3" t="s">
        <v>106</v>
      </c>
      <c r="B22" s="2" t="s">
        <v>107</v>
      </c>
      <c r="C22" s="2" t="s">
        <v>108</v>
      </c>
      <c r="D22" s="2" t="s">
        <v>109</v>
      </c>
      <c r="E22" s="5"/>
      <c r="F22" s="6"/>
      <c r="G22" s="7" t="str">
        <f aca="false">IF(F22="","",IF(E22=F22,"Match","Mismatch"))</f>
        <v/>
      </c>
      <c r="H22" s="2" t="s">
        <v>101</v>
      </c>
    </row>
    <row r="23" customFormat="false" ht="44.25" hidden="false" customHeight="true" outlineLevel="0" collapsed="false">
      <c r="A23" s="3" t="s">
        <v>110</v>
      </c>
      <c r="B23" s="2" t="s">
        <v>111</v>
      </c>
      <c r="C23" s="2" t="s">
        <v>112</v>
      </c>
      <c r="D23" s="2" t="s">
        <v>113</v>
      </c>
      <c r="E23" s="5" t="n">
        <v>173</v>
      </c>
      <c r="F23" s="6"/>
      <c r="G23" s="7" t="str">
        <f aca="false">IF(F23="","",IF(E23=F23,"Match","Mismatch"))</f>
        <v/>
      </c>
      <c r="H23" s="2" t="s">
        <v>72</v>
      </c>
    </row>
  </sheetData>
  <conditionalFormatting sqref="H2:H23">
    <cfRule type="cellIs" priority="2" operator="equal" aboveAverage="0" equalAverage="0" bottom="0" percent="0" rank="0" text="" dxfId="4">
      <formula>"Open"</formula>
    </cfRule>
    <cfRule type="cellIs" priority="3" operator="equal" aboveAverage="0" equalAverage="0" bottom="0" percent="0" rank="0" text="" dxfId="5">
      <formula>"Needs review"</formula>
    </cfRule>
    <cfRule type="cellIs" priority="4" operator="equal" aboveAverage="0" equalAverage="0" bottom="0" percent="0" rank="0" text="" dxfId="6">
      <formula>"Implemented"</formula>
    </cfRule>
    <cfRule type="cellIs" priority="5" operator="equal" aboveAverage="0" equalAverage="0" bottom="0" percent="0" rank="0" text="" dxfId="6">
      <formula>"Closed"</formula>
    </cfRule>
  </conditionalFormatting>
  <conditionalFormatting sqref="G2:G23">
    <cfRule type="cellIs" priority="6" operator="equal" aboveAverage="0" equalAverage="0" bottom="0" percent="0" rank="0" text="" dxfId="7">
      <formula>"Mismatch"</formula>
    </cfRule>
    <cfRule type="cellIs" priority="7" operator="equal" aboveAverage="0" equalAverage="0" bottom="0" percent="0" rank="0" text="" dxfId="6">
      <formula>"Match"</formula>
    </cfRule>
  </conditionalFormatting>
  <dataValidations count="1">
    <dataValidation allowBlank="false" error="Choose Open, Decided, Implemented or Needs review." errorStyle="stop" errorTitle="Invalid status" operator="between" showDropDown="false" showErrorMessage="true" showInputMessage="false" sqref="H2:H23" type="list">
      <formula1>"Open,Decided,Implemented,Closed,Needs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8" t="s">
        <v>114</v>
      </c>
      <c r="B1" s="8" t="s">
        <v>115</v>
      </c>
      <c r="C1" s="8" t="s">
        <v>116</v>
      </c>
    </row>
    <row r="2" customFormat="false" ht="15" hidden="false" customHeight="false" outlineLevel="0" collapsed="false">
      <c r="A2" s="2" t="s">
        <v>117</v>
      </c>
      <c r="B2" s="5" t="n">
        <v>525461</v>
      </c>
      <c r="C2" s="2" t="s">
        <v>118</v>
      </c>
    </row>
    <row r="3" customFormat="false" ht="15" hidden="false" customHeight="false" outlineLevel="0" collapsed="false">
      <c r="A3" s="2" t="s">
        <v>119</v>
      </c>
      <c r="B3" s="5" t="n">
        <v>541910</v>
      </c>
      <c r="C3" s="2" t="s">
        <v>118</v>
      </c>
    </row>
    <row r="4" customFormat="false" ht="15" hidden="false" customHeight="false" outlineLevel="0" collapsed="false">
      <c r="A4" s="2" t="s">
        <v>120</v>
      </c>
      <c r="B4" s="5" t="n">
        <v>502938</v>
      </c>
      <c r="C4" s="2" t="s">
        <v>121</v>
      </c>
    </row>
    <row r="5" customFormat="false" ht="15" hidden="false" customHeight="false" outlineLevel="0" collapsed="false">
      <c r="A5" s="2" t="s">
        <v>122</v>
      </c>
      <c r="B5" s="5" t="n">
        <f aca="false">B2-B4</f>
        <v>22523</v>
      </c>
      <c r="C5" s="2" t="s">
        <v>123</v>
      </c>
    </row>
    <row r="6" customFormat="false" ht="15" hidden="false" customHeight="false" outlineLevel="0" collapsed="false">
      <c r="A6" s="2" t="s">
        <v>124</v>
      </c>
      <c r="B6" s="5" t="n">
        <v>22523</v>
      </c>
      <c r="C6" s="2" t="s">
        <v>125</v>
      </c>
    </row>
    <row r="7" customFormat="false" ht="15" hidden="false" customHeight="false" outlineLevel="0" collapsed="false">
      <c r="A7" s="2" t="s">
        <v>126</v>
      </c>
      <c r="B7" s="5" t="str">
        <f aca="false">IF(B5=B6,"Match","Mismatch")</f>
        <v>Match</v>
      </c>
      <c r="C7" s="2" t="s">
        <v>127</v>
      </c>
    </row>
    <row r="8" customFormat="false" ht="15" hidden="false" customHeight="false" outlineLevel="0" collapsed="false">
      <c r="A8" s="2" t="s">
        <v>128</v>
      </c>
      <c r="B8" s="5" t="n">
        <v>1088</v>
      </c>
      <c r="C8" s="2" t="s">
        <v>129</v>
      </c>
    </row>
    <row r="9" customFormat="false" ht="15" hidden="false" customHeight="false" outlineLevel="0" collapsed="false">
      <c r="A9" s="2" t="s">
        <v>130</v>
      </c>
      <c r="B9" s="9" t="n">
        <v>377488.45</v>
      </c>
      <c r="C9" s="2" t="s">
        <v>131</v>
      </c>
    </row>
    <row r="10" customFormat="false" ht="15" hidden="false" customHeight="false" outlineLevel="0" collapsed="false">
      <c r="A10" s="2" t="s">
        <v>132</v>
      </c>
      <c r="B10" s="5" t="n">
        <v>1044848</v>
      </c>
      <c r="C10" s="2" t="s">
        <v>133</v>
      </c>
    </row>
    <row r="11" customFormat="false" ht="15" hidden="false" customHeight="false" outlineLevel="0" collapsed="false">
      <c r="A11" s="2" t="s">
        <v>134</v>
      </c>
      <c r="B11" s="5" t="n">
        <f aca="false">B4+B3</f>
        <v>1044848</v>
      </c>
      <c r="C11" s="2" t="s">
        <v>135</v>
      </c>
    </row>
    <row r="12" customFormat="false" ht="15" hidden="false" customHeight="false" outlineLevel="0" collapsed="false">
      <c r="A12" s="2" t="s">
        <v>136</v>
      </c>
      <c r="B12" s="5" t="str">
        <f aca="false">IF(B10=B11,"Match","Mismatch")</f>
        <v>Match</v>
      </c>
      <c r="C12" s="2" t="s">
        <v>127</v>
      </c>
    </row>
    <row r="13" customFormat="false" ht="15" hidden="false" customHeight="false" outlineLevel="0" collapsed="false">
      <c r="A13" s="2" t="s">
        <v>137</v>
      </c>
      <c r="B13" s="9" t="n">
        <v>18909762.12</v>
      </c>
      <c r="C13" s="2" t="s">
        <v>138</v>
      </c>
    </row>
    <row r="14" customFormat="false" ht="15" hidden="false" customHeight="false" outlineLevel="0" collapsed="false">
      <c r="A14" s="2" t="s">
        <v>139</v>
      </c>
      <c r="B14" s="9" t="n">
        <v>18855533.7</v>
      </c>
      <c r="C14" s="2" t="s">
        <v>140</v>
      </c>
    </row>
    <row r="15" customFormat="false" ht="15" hidden="false" customHeight="false" outlineLevel="0" collapsed="false">
      <c r="A15" s="2" t="s">
        <v>141</v>
      </c>
      <c r="B15" s="9" t="n">
        <f aca="false">B13-B14</f>
        <v>54228.4200000018</v>
      </c>
      <c r="C15" s="2" t="s">
        <v>142</v>
      </c>
    </row>
    <row r="16" customFormat="false" ht="15" hidden="false" customHeight="false" outlineLevel="0" collapsed="false">
      <c r="A16" s="2" t="s">
        <v>143</v>
      </c>
      <c r="B16" s="5" t="n">
        <v>1033036</v>
      </c>
      <c r="C16" s="2" t="s">
        <v>133</v>
      </c>
    </row>
    <row r="17" customFormat="false" ht="15" hidden="false" customHeight="false" outlineLevel="0" collapsed="false">
      <c r="A17" s="2" t="s">
        <v>144</v>
      </c>
      <c r="B17" s="5" t="n">
        <f aca="false">B10-B16</f>
        <v>11812</v>
      </c>
      <c r="C17" s="2" t="s">
        <v>142</v>
      </c>
    </row>
    <row r="18" customFormat="false" ht="15" hidden="false" customHeight="false" outlineLevel="0" collapsed="false">
      <c r="A18" s="2" t="s">
        <v>145</v>
      </c>
      <c r="B18" s="10" t="n">
        <f aca="false">B17/B10</f>
        <v>0.0113049936450087</v>
      </c>
      <c r="C18" s="2" t="s">
        <v>142</v>
      </c>
    </row>
    <row r="19" customFormat="false" ht="15" hidden="false" customHeight="false" outlineLevel="0" collapsed="false">
      <c r="A19" s="2" t="s">
        <v>146</v>
      </c>
      <c r="B19" s="10" t="n">
        <f aca="false">B15/B13</f>
        <v>0.00286774733896027</v>
      </c>
      <c r="C19" s="2" t="s">
        <v>142</v>
      </c>
    </row>
    <row r="20" customFormat="false" ht="15" hidden="false" customHeight="false" outlineLevel="0" collapsed="false">
      <c r="A20" s="2" t="s">
        <v>147</v>
      </c>
      <c r="B20" s="5" t="n">
        <v>235287</v>
      </c>
      <c r="C20" s="2" t="s">
        <v>148</v>
      </c>
    </row>
    <row r="21" customFormat="false" ht="15" hidden="false" customHeight="false" outlineLevel="0" collapsed="false">
      <c r="A21" s="2" t="s">
        <v>149</v>
      </c>
      <c r="B21" s="10" t="n">
        <f aca="false">B20/B10</f>
        <v>0.22518777850941</v>
      </c>
      <c r="C21" s="2" t="s">
        <v>142</v>
      </c>
    </row>
    <row r="22" customFormat="false" ht="15" hidden="false" customHeight="false" outlineLevel="0" collapsed="false">
      <c r="A22" s="2" t="s">
        <v>150</v>
      </c>
      <c r="B22" s="5" t="n">
        <v>19165</v>
      </c>
      <c r="C22" s="2" t="s">
        <v>151</v>
      </c>
    </row>
    <row r="23" customFormat="false" ht="15" hidden="false" customHeight="false" outlineLevel="0" collapsed="false">
      <c r="A23" s="2" t="s">
        <v>152</v>
      </c>
      <c r="B23" s="5" t="n">
        <v>6024</v>
      </c>
      <c r="C23" s="2" t="s">
        <v>151</v>
      </c>
    </row>
    <row r="24" customFormat="false" ht="15" hidden="false" customHeight="false" outlineLevel="0" collapsed="false">
      <c r="A24" s="2" t="s">
        <v>153</v>
      </c>
      <c r="B24" s="5" t="n">
        <v>5</v>
      </c>
      <c r="C24" s="2" t="s">
        <v>154</v>
      </c>
    </row>
    <row r="25" customFormat="false" ht="15" hidden="false" customHeight="false" outlineLevel="0" collapsed="false">
      <c r="A25" s="2" t="s">
        <v>155</v>
      </c>
      <c r="B25" s="5" t="n">
        <v>22557</v>
      </c>
      <c r="C25" s="2" t="s">
        <v>151</v>
      </c>
    </row>
    <row r="26" customFormat="false" ht="15" hidden="false" customHeight="false" outlineLevel="0" collapsed="false">
      <c r="A26" s="2" t="s">
        <v>156</v>
      </c>
      <c r="B26" s="5" t="n">
        <v>5305</v>
      </c>
      <c r="C26" s="2" t="s">
        <v>157</v>
      </c>
    </row>
    <row r="27" customFormat="false" ht="15" hidden="false" customHeight="false" outlineLevel="0" collapsed="false">
      <c r="A27" s="2" t="s">
        <v>158</v>
      </c>
      <c r="B27" s="5" t="n">
        <v>5132</v>
      </c>
      <c r="C27" s="2" t="s">
        <v>157</v>
      </c>
    </row>
    <row r="28" customFormat="false" ht="15" hidden="false" customHeight="false" outlineLevel="0" collapsed="false">
      <c r="A28" s="2" t="s">
        <v>159</v>
      </c>
      <c r="B28" s="5" t="n">
        <v>43</v>
      </c>
      <c r="C28" s="2" t="s">
        <v>160</v>
      </c>
    </row>
    <row r="29" customFormat="false" ht="15" hidden="false" customHeight="false" outlineLevel="0" collapsed="false">
      <c r="A29" s="2" t="s">
        <v>161</v>
      </c>
      <c r="B29" s="5" t="n">
        <v>5131</v>
      </c>
      <c r="C29" s="2" t="s">
        <v>162</v>
      </c>
    </row>
    <row r="30" customFormat="false" ht="15" hidden="false" customHeight="false" outlineLevel="0" collapsed="false">
      <c r="A30" s="2" t="s">
        <v>163</v>
      </c>
      <c r="B30" s="5" t="n">
        <v>130181816</v>
      </c>
      <c r="C30" s="2" t="s">
        <v>164</v>
      </c>
    </row>
    <row r="31" customFormat="false" ht="15" hidden="false" customHeight="false" outlineLevel="0" collapsed="false">
      <c r="A31" s="2" t="s">
        <v>165</v>
      </c>
      <c r="B31" s="5" t="n">
        <v>1</v>
      </c>
      <c r="C31" s="2" t="s">
        <v>166</v>
      </c>
    </row>
    <row r="32" customFormat="false" ht="15" hidden="false" customHeight="false" outlineLevel="0" collapsed="false">
      <c r="A32" s="2" t="s">
        <v>167</v>
      </c>
      <c r="B32" s="11" t="n">
        <v>0.001</v>
      </c>
      <c r="C32" s="2" t="s">
        <v>168</v>
      </c>
    </row>
    <row r="33" customFormat="false" ht="15" hidden="false" customHeight="false" outlineLevel="0" collapsed="false">
      <c r="A33" s="2"/>
      <c r="B33" s="2"/>
      <c r="C33" s="2"/>
    </row>
    <row r="34" customFormat="false" ht="15" hidden="false" customHeight="false" outlineLevel="0" collapsed="false">
      <c r="A34" s="3" t="s">
        <v>169</v>
      </c>
      <c r="B34" s="2"/>
      <c r="C34" s="2"/>
    </row>
    <row r="35" customFormat="false" ht="15" hidden="false" customHeight="false" outlineLevel="0" collapsed="false">
      <c r="A35" s="8" t="s">
        <v>170</v>
      </c>
      <c r="B35" s="8" t="s">
        <v>171</v>
      </c>
      <c r="C35" s="8" t="s">
        <v>172</v>
      </c>
    </row>
    <row r="36" customFormat="false" ht="15" hidden="false" customHeight="false" outlineLevel="0" collapsed="false">
      <c r="A36" s="2" t="s">
        <v>173</v>
      </c>
      <c r="B36" s="12" t="n">
        <v>108489</v>
      </c>
      <c r="C36" s="2" t="s">
        <v>174</v>
      </c>
    </row>
    <row r="37" customFormat="false" ht="15" hidden="false" customHeight="false" outlineLevel="0" collapsed="false">
      <c r="A37" s="2" t="s">
        <v>175</v>
      </c>
      <c r="B37" s="12" t="n">
        <v>917188</v>
      </c>
      <c r="C37" s="2" t="s">
        <v>174</v>
      </c>
    </row>
    <row r="38" customFormat="false" ht="15" hidden="false" customHeight="false" outlineLevel="0" collapsed="false">
      <c r="A38" s="2" t="s">
        <v>176</v>
      </c>
      <c r="B38" s="12" t="n">
        <v>19165</v>
      </c>
      <c r="C38" s="2" t="s">
        <v>177</v>
      </c>
    </row>
    <row r="39" customFormat="false" ht="15" hidden="false" customHeight="false" outlineLevel="0" collapsed="false">
      <c r="A39" s="2" t="s">
        <v>178</v>
      </c>
      <c r="B39" s="12" t="n">
        <v>6</v>
      </c>
      <c r="C39" s="2" t="s">
        <v>179</v>
      </c>
    </row>
    <row r="40" customFormat="false" ht="15" hidden="false" customHeight="false" outlineLevel="0" collapsed="false">
      <c r="A40" s="3" t="s">
        <v>180</v>
      </c>
      <c r="B40" s="13" t="n">
        <f aca="false">SUM(B36:B39)</f>
        <v>1044848</v>
      </c>
      <c r="C40" s="3" t="str">
        <f aca="false">IF(B40=B10,"Matches Sales_Combined rows","Mismatch")</f>
        <v>Matches Sales_Combined rows</v>
      </c>
    </row>
    <row r="42" customFormat="false" ht="15" hidden="false" customHeight="false" outlineLevel="0" collapsed="false">
      <c r="A42" s="3" t="s">
        <v>181</v>
      </c>
      <c r="B42" s="14"/>
      <c r="C42" s="15"/>
    </row>
    <row r="43" customFormat="false" ht="15" hidden="false" customHeight="false" outlineLevel="0" collapsed="false">
      <c r="A43" s="8" t="s">
        <v>182</v>
      </c>
      <c r="B43" s="16" t="s">
        <v>171</v>
      </c>
      <c r="C43" s="8" t="s">
        <v>183</v>
      </c>
    </row>
    <row r="44" customFormat="false" ht="15" hidden="false" customHeight="false" outlineLevel="0" collapsed="false">
      <c r="A44" s="15" t="s">
        <v>184</v>
      </c>
      <c r="B44" s="17" t="n">
        <v>1015074</v>
      </c>
      <c r="C44" s="15" t="s">
        <v>185</v>
      </c>
    </row>
    <row r="45" customFormat="false" ht="15" hidden="false" customHeight="false" outlineLevel="0" collapsed="false">
      <c r="A45" s="15" t="s">
        <v>177</v>
      </c>
      <c r="B45" s="17" t="n">
        <v>17972</v>
      </c>
      <c r="C45" s="15" t="s">
        <v>186</v>
      </c>
    </row>
    <row r="46" customFormat="false" ht="15" hidden="false" customHeight="false" outlineLevel="0" collapsed="false">
      <c r="A46" s="15" t="s">
        <v>187</v>
      </c>
      <c r="B46" s="17" t="n">
        <v>5914</v>
      </c>
      <c r="C46" s="15" t="s">
        <v>188</v>
      </c>
    </row>
    <row r="47" customFormat="false" ht="15" hidden="false" customHeight="false" outlineLevel="0" collapsed="false">
      <c r="A47" s="15" t="s">
        <v>189</v>
      </c>
      <c r="B47" s="17" t="n">
        <v>5721</v>
      </c>
      <c r="C47" s="15" t="s">
        <v>190</v>
      </c>
    </row>
    <row r="48" customFormat="false" ht="15" hidden="false" customHeight="false" outlineLevel="0" collapsed="false">
      <c r="A48" s="15" t="s">
        <v>191</v>
      </c>
      <c r="B48" s="17" t="n">
        <v>100</v>
      </c>
      <c r="C48" s="15" t="s">
        <v>192</v>
      </c>
    </row>
    <row r="49" customFormat="false" ht="15" hidden="false" customHeight="false" outlineLevel="0" collapsed="false">
      <c r="A49" s="15" t="s">
        <v>193</v>
      </c>
      <c r="B49" s="17" t="n">
        <v>61</v>
      </c>
      <c r="C49" s="15" t="s">
        <v>194</v>
      </c>
    </row>
    <row r="50" customFormat="false" ht="15" hidden="false" customHeight="false" outlineLevel="0" collapsed="false">
      <c r="A50" s="15" t="s">
        <v>195</v>
      </c>
      <c r="B50" s="17" t="n">
        <v>6</v>
      </c>
      <c r="C50" s="15" t="s">
        <v>196</v>
      </c>
    </row>
    <row r="51" customFormat="false" ht="15" hidden="false" customHeight="false" outlineLevel="0" collapsed="false">
      <c r="A51" s="3" t="s">
        <v>180</v>
      </c>
      <c r="B51" s="18" t="n">
        <f aca="false">SUM(B44:B50)</f>
        <v>1044848</v>
      </c>
      <c r="C51" s="3" t="str">
        <f aca="false">IF(B51=B10,"Matches Sales_Combined rows","Mismatch")</f>
        <v>Matches Sales_Combined rows</v>
      </c>
    </row>
    <row r="52" customFormat="false" ht="15" hidden="false" customHeight="false" outlineLevel="0" collapsed="false">
      <c r="A52" s="15" t="s">
        <v>197</v>
      </c>
      <c r="B52" s="19" t="n">
        <f aca="false">B44/B51</f>
        <v>0.971503989096979</v>
      </c>
      <c r="C52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66"/>
    <col collapsed="false" customWidth="true" hidden="false" outlineLevel="0" max="4" min="4" style="0" width="8"/>
  </cols>
  <sheetData>
    <row r="1" customFormat="false" ht="15" hidden="false" customHeight="false" outlineLevel="0" collapsed="false">
      <c r="A1" s="8" t="s">
        <v>198</v>
      </c>
      <c r="B1" s="8" t="s">
        <v>115</v>
      </c>
      <c r="C1" s="8" t="s">
        <v>199</v>
      </c>
      <c r="D1" s="8" t="s">
        <v>200</v>
      </c>
    </row>
    <row r="2" customFormat="false" ht="15" hidden="false" customHeight="false" outlineLevel="0" collapsed="false">
      <c r="A2" s="2" t="s">
        <v>201</v>
      </c>
      <c r="B2" s="9" t="n">
        <v>19700849.46</v>
      </c>
      <c r="C2" s="2" t="s">
        <v>202</v>
      </c>
      <c r="D2" s="2" t="s">
        <v>203</v>
      </c>
    </row>
    <row r="3" customFormat="false" ht="15" hidden="false" customHeight="false" outlineLevel="0" collapsed="false">
      <c r="A3" s="2" t="s">
        <v>204</v>
      </c>
      <c r="B3" s="9" t="n">
        <v>-719677.94</v>
      </c>
      <c r="C3" s="2" t="s">
        <v>205</v>
      </c>
      <c r="D3" s="2" t="s">
        <v>203</v>
      </c>
    </row>
    <row r="4" customFormat="false" ht="15" hidden="false" customHeight="false" outlineLevel="0" collapsed="false">
      <c r="A4" s="2" t="s">
        <v>206</v>
      </c>
      <c r="B4" s="9" t="n">
        <f aca="false">B2+B3</f>
        <v>18981171.52</v>
      </c>
      <c r="C4" s="2" t="s">
        <v>207</v>
      </c>
      <c r="D4" s="2" t="s">
        <v>203</v>
      </c>
    </row>
    <row r="5" customFormat="false" ht="15" hidden="false" customHeight="false" outlineLevel="0" collapsed="false">
      <c r="A5" s="2" t="s">
        <v>208</v>
      </c>
      <c r="B5" s="10" t="n">
        <f aca="false">-B3/B2</f>
        <v>0.0365302999477871</v>
      </c>
      <c r="C5" s="2" t="s">
        <v>209</v>
      </c>
      <c r="D5" s="2" t="s">
        <v>203</v>
      </c>
    </row>
    <row r="6" customFormat="false" ht="15" hidden="false" customHeight="false" outlineLevel="0" collapsed="false">
      <c r="A6" s="2" t="s">
        <v>210</v>
      </c>
      <c r="B6" s="9" t="n">
        <v>168469.6</v>
      </c>
      <c r="C6" s="2" t="s">
        <v>211</v>
      </c>
      <c r="D6" s="2" t="s">
        <v>212</v>
      </c>
    </row>
    <row r="7" customFormat="false" ht="15" hidden="false" customHeight="false" outlineLevel="0" collapsed="false">
      <c r="A7" s="2" t="s">
        <v>213</v>
      </c>
      <c r="B7" s="9" t="n">
        <v>77183.6</v>
      </c>
      <c r="C7" s="2" t="s">
        <v>214</v>
      </c>
      <c r="D7" s="2" t="s">
        <v>212</v>
      </c>
    </row>
    <row r="8" customFormat="false" ht="15" hidden="false" customHeight="false" outlineLevel="0" collapsed="false">
      <c r="A8" s="2" t="s">
        <v>215</v>
      </c>
      <c r="B8" s="10" t="n">
        <f aca="false">(-B3-B6-B7)/(B2-B6-B7)</f>
        <v>0.024364942592463</v>
      </c>
      <c r="C8" s="2" t="s">
        <v>216</v>
      </c>
      <c r="D8" s="2" t="s">
        <v>212</v>
      </c>
    </row>
    <row r="9" customFormat="false" ht="15" hidden="false" customHeight="false" outlineLevel="0" collapsed="false">
      <c r="A9" s="2" t="s">
        <v>217</v>
      </c>
      <c r="B9" s="9" t="n">
        <v>16220998.8</v>
      </c>
      <c r="C9" s="2" t="s">
        <v>218</v>
      </c>
      <c r="D9" s="2" t="s">
        <v>219</v>
      </c>
    </row>
    <row r="10" customFormat="false" ht="15" hidden="false" customHeight="false" outlineLevel="0" collapsed="false">
      <c r="A10" s="2" t="s">
        <v>220</v>
      </c>
      <c r="B10" s="10" t="n">
        <f aca="false">B9/B4</f>
        <v>0.854583647953886</v>
      </c>
      <c r="C10" s="2"/>
      <c r="D10" s="2" t="s">
        <v>219</v>
      </c>
    </row>
    <row r="11" customFormat="false" ht="15" hidden="false" customHeight="false" outlineLevel="0" collapsed="false">
      <c r="A11" s="2" t="s">
        <v>221</v>
      </c>
      <c r="B11" s="9" t="n">
        <v>16411804.75</v>
      </c>
      <c r="C11" s="2" t="s">
        <v>222</v>
      </c>
      <c r="D11" s="2" t="s">
        <v>223</v>
      </c>
    </row>
    <row r="12" customFormat="false" ht="15" hidden="false" customHeight="false" outlineLevel="0" collapsed="false">
      <c r="A12" s="2" t="s">
        <v>224</v>
      </c>
      <c r="B12" s="9" t="n">
        <v>2569366.77</v>
      </c>
      <c r="C12" s="2" t="s">
        <v>225</v>
      </c>
      <c r="D12" s="2" t="s">
        <v>223</v>
      </c>
    </row>
    <row r="13" customFormat="false" ht="15" hidden="false" customHeight="false" outlineLevel="0" collapsed="false">
      <c r="A13" s="2" t="s">
        <v>226</v>
      </c>
      <c r="B13" s="10" t="n">
        <f aca="false">B12/B4</f>
        <v>0.135363971991545</v>
      </c>
      <c r="C13" s="2"/>
      <c r="D13" s="2" t="s">
        <v>223</v>
      </c>
    </row>
    <row r="14" customFormat="false" ht="15" hidden="false" customHeight="false" outlineLevel="0" collapsed="false">
      <c r="A14" s="2" t="s">
        <v>227</v>
      </c>
      <c r="B14" s="9" t="n">
        <v>2660456.26</v>
      </c>
      <c r="C14" s="2" t="s">
        <v>228</v>
      </c>
      <c r="D14" s="2" t="s">
        <v>223</v>
      </c>
    </row>
    <row r="15" customFormat="false" ht="15" hidden="false" customHeight="false" outlineLevel="0" collapsed="false">
      <c r="A15" s="2" t="s">
        <v>229</v>
      </c>
      <c r="B15" s="10" t="n">
        <f aca="false">B14/B11</f>
        <v>0.162106258301665</v>
      </c>
      <c r="C15" s="2"/>
      <c r="D15" s="2" t="s">
        <v>223</v>
      </c>
    </row>
    <row r="16" customFormat="false" ht="15" hidden="false" customHeight="false" outlineLevel="0" collapsed="false">
      <c r="A16" s="2" t="s">
        <v>230</v>
      </c>
      <c r="B16" s="5" t="n">
        <v>5852</v>
      </c>
      <c r="C16" s="2" t="s">
        <v>231</v>
      </c>
      <c r="D16" s="2" t="s">
        <v>223</v>
      </c>
    </row>
    <row r="17" customFormat="false" ht="15" hidden="false" customHeight="false" outlineLevel="0" collapsed="false">
      <c r="A17" s="2" t="s">
        <v>232</v>
      </c>
      <c r="B17" s="5" t="n">
        <v>1618</v>
      </c>
      <c r="C17" s="2" t="s">
        <v>233</v>
      </c>
      <c r="D17" s="2" t="s">
        <v>223</v>
      </c>
    </row>
    <row r="18" customFormat="false" ht="15" hidden="false" customHeight="false" outlineLevel="0" collapsed="false">
      <c r="A18" s="2" t="s">
        <v>234</v>
      </c>
      <c r="B18" s="10" t="n">
        <f aca="false">(B16-B17)/B16</f>
        <v>0.723513328776487</v>
      </c>
      <c r="C18" s="2" t="s">
        <v>235</v>
      </c>
      <c r="D18" s="2" t="s">
        <v>223</v>
      </c>
    </row>
    <row r="19" customFormat="false" ht="15" hidden="false" customHeight="false" outlineLevel="0" collapsed="false">
      <c r="A19" s="2" t="s">
        <v>236</v>
      </c>
      <c r="B19" s="5" t="n">
        <v>864</v>
      </c>
      <c r="C19" s="2"/>
      <c r="D19" s="2" t="s">
        <v>223</v>
      </c>
    </row>
    <row r="20" customFormat="false" ht="15" hidden="false" customHeight="false" outlineLevel="0" collapsed="false">
      <c r="A20" s="2" t="s">
        <v>237</v>
      </c>
      <c r="B20" s="9" t="n">
        <v>11045932.33</v>
      </c>
      <c r="C20" s="2" t="s">
        <v>238</v>
      </c>
      <c r="D20" s="2" t="s">
        <v>223</v>
      </c>
    </row>
    <row r="21" customFormat="false" ht="15" hidden="false" customHeight="false" outlineLevel="0" collapsed="false">
      <c r="A21" s="2" t="s">
        <v>239</v>
      </c>
      <c r="B21" s="10" t="n">
        <f aca="false">B20/17124835.99</f>
        <v>0.645024123819361</v>
      </c>
      <c r="C21" s="2"/>
      <c r="D21" s="2" t="s">
        <v>223</v>
      </c>
    </row>
    <row r="22" customFormat="false" ht="15" hidden="false" customHeight="false" outlineLevel="0" collapsed="false">
      <c r="A22" s="2" t="s">
        <v>240</v>
      </c>
      <c r="B22" s="9" t="n">
        <v>1445676.85</v>
      </c>
      <c r="C22" s="2" t="s">
        <v>241</v>
      </c>
      <c r="D22" s="2" t="s">
        <v>242</v>
      </c>
    </row>
    <row r="23" customFormat="false" ht="15" hidden="false" customHeight="false" outlineLevel="0" collapsed="false">
      <c r="A23" s="2" t="s">
        <v>243</v>
      </c>
      <c r="B23" s="10" t="n">
        <f aca="false">B22/B4</f>
        <v>0.0761637314365304</v>
      </c>
      <c r="C23" s="2"/>
      <c r="D23" s="2" t="s">
        <v>242</v>
      </c>
    </row>
    <row r="24" customFormat="false" ht="15" hidden="false" customHeight="false" outlineLevel="0" collapsed="false">
      <c r="A24" s="2" t="s">
        <v>244</v>
      </c>
      <c r="B24" s="5" t="n">
        <v>39516</v>
      </c>
      <c r="C24" s="2"/>
      <c r="D24" s="2" t="s">
        <v>245</v>
      </c>
    </row>
    <row r="25" customFormat="false" ht="15" hidden="false" customHeight="false" outlineLevel="0" collapsed="false">
      <c r="A25" s="2" t="s">
        <v>246</v>
      </c>
      <c r="B25" s="9" t="n">
        <v>498.55</v>
      </c>
      <c r="C25" s="2" t="s">
        <v>247</v>
      </c>
      <c r="D25" s="2" t="s">
        <v>245</v>
      </c>
    </row>
    <row r="26" customFormat="false" ht="15" hidden="false" customHeight="false" outlineLevel="0" collapsed="false">
      <c r="A26" s="2" t="s">
        <v>248</v>
      </c>
      <c r="B26" s="9" t="n">
        <v>301.8</v>
      </c>
      <c r="C26" s="2" t="s">
        <v>249</v>
      </c>
      <c r="D26" s="2" t="s">
        <v>245</v>
      </c>
    </row>
    <row r="27" customFormat="false" ht="15" hidden="false" customHeight="false" outlineLevel="0" collapsed="false">
      <c r="A27" s="2" t="s">
        <v>250</v>
      </c>
      <c r="B27" s="9" t="n">
        <v>490.51</v>
      </c>
      <c r="C27" s="2" t="s">
        <v>251</v>
      </c>
      <c r="D27" s="2" t="s">
        <v>245</v>
      </c>
    </row>
    <row r="28" customFormat="false" ht="15" hidden="false" customHeight="false" outlineLevel="0" collapsed="false">
      <c r="A28" s="2" t="s">
        <v>252</v>
      </c>
      <c r="B28" s="9" t="n">
        <v>8407010.94</v>
      </c>
      <c r="C28" s="2" t="s">
        <v>253</v>
      </c>
      <c r="D28" s="2" t="s">
        <v>254</v>
      </c>
    </row>
    <row r="29" customFormat="false" ht="15" hidden="false" customHeight="false" outlineLevel="0" collapsed="false">
      <c r="A29" s="2" t="s">
        <v>255</v>
      </c>
      <c r="B29" s="9" t="n">
        <v>8590935.96</v>
      </c>
      <c r="C29" s="2" t="s">
        <v>256</v>
      </c>
      <c r="D29" s="2" t="s">
        <v>254</v>
      </c>
    </row>
    <row r="30" customFormat="false" ht="15" hidden="false" customHeight="false" outlineLevel="0" collapsed="false">
      <c r="A30" s="2" t="s">
        <v>257</v>
      </c>
      <c r="B30" s="10" t="n">
        <f aca="false">B29/B28-1</f>
        <v>0.0218775759080909</v>
      </c>
      <c r="C30" s="2" t="s">
        <v>258</v>
      </c>
      <c r="D30" s="2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8" t="s">
        <v>259</v>
      </c>
      <c r="B1" s="8" t="s">
        <v>260</v>
      </c>
      <c r="C1" s="8" t="s">
        <v>261</v>
      </c>
      <c r="D1" s="8" t="s">
        <v>262</v>
      </c>
      <c r="E1" s="8" t="s">
        <v>171</v>
      </c>
      <c r="F1" s="8" t="s">
        <v>263</v>
      </c>
    </row>
    <row r="2" customFormat="false" ht="43.5" hidden="false" customHeight="true" outlineLevel="0" collapsed="false">
      <c r="A2" s="2" t="s">
        <v>264</v>
      </c>
      <c r="B2" s="2" t="s">
        <v>265</v>
      </c>
      <c r="C2" s="2" t="s">
        <v>266</v>
      </c>
      <c r="D2" s="2" t="s">
        <v>267</v>
      </c>
      <c r="E2" s="12" t="n">
        <v>1044848</v>
      </c>
      <c r="F2" s="2" t="s">
        <v>268</v>
      </c>
    </row>
    <row r="3" customFormat="false" ht="43.5" hidden="false" customHeight="true" outlineLevel="0" collapsed="false">
      <c r="A3" s="2" t="s">
        <v>269</v>
      </c>
      <c r="B3" s="2" t="s">
        <v>270</v>
      </c>
      <c r="C3" s="2" t="s">
        <v>271</v>
      </c>
      <c r="D3" s="2" t="s">
        <v>272</v>
      </c>
      <c r="E3" s="12" t="n">
        <v>5131</v>
      </c>
      <c r="F3" s="2" t="s">
        <v>273</v>
      </c>
    </row>
    <row r="4" customFormat="false" ht="43.5" hidden="false" customHeight="true" outlineLevel="0" collapsed="false">
      <c r="A4" s="2" t="s">
        <v>274</v>
      </c>
      <c r="B4" s="2" t="s">
        <v>270</v>
      </c>
      <c r="C4" s="2" t="s">
        <v>275</v>
      </c>
      <c r="D4" s="2" t="s">
        <v>276</v>
      </c>
      <c r="E4" s="12" t="n">
        <v>5942</v>
      </c>
      <c r="F4" s="2" t="s">
        <v>277</v>
      </c>
    </row>
    <row r="5" customFormat="false" ht="43.5" hidden="false" customHeight="true" outlineLevel="0" collapsed="false">
      <c r="A5" s="2" t="s">
        <v>278</v>
      </c>
      <c r="B5" s="2" t="s">
        <v>270</v>
      </c>
      <c r="C5" s="2" t="s">
        <v>279</v>
      </c>
      <c r="D5" s="2" t="s">
        <v>280</v>
      </c>
      <c r="E5" s="12" t="n">
        <v>43</v>
      </c>
      <c r="F5" s="2" t="s">
        <v>281</v>
      </c>
    </row>
    <row r="6" customFormat="false" ht="43.5" hidden="false" customHeight="true" outlineLevel="0" collapsed="false">
      <c r="A6" s="2" t="s">
        <v>282</v>
      </c>
      <c r="B6" s="2" t="s">
        <v>270</v>
      </c>
      <c r="C6" s="2" t="s">
        <v>283</v>
      </c>
      <c r="D6" s="2" t="s">
        <v>284</v>
      </c>
      <c r="E6" s="12" t="n">
        <v>7</v>
      </c>
      <c r="F6" s="2" t="s">
        <v>285</v>
      </c>
    </row>
    <row r="7" customFormat="false" ht="43.5" hidden="false" customHeight="true" outlineLevel="0" collapsed="false">
      <c r="A7" s="2" t="s">
        <v>286</v>
      </c>
      <c r="B7" s="2" t="s">
        <v>287</v>
      </c>
      <c r="C7" s="2" t="s">
        <v>288</v>
      </c>
      <c r="D7" s="2" t="s">
        <v>289</v>
      </c>
      <c r="E7" s="12"/>
      <c r="F7" s="2" t="s">
        <v>290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35.05" hidden="false" customHeight="false" outlineLevel="0" collapsed="false">
      <c r="A9" s="3" t="s">
        <v>291</v>
      </c>
      <c r="B9" s="2"/>
      <c r="C9" s="2"/>
      <c r="D9" s="2"/>
      <c r="E9" s="2"/>
      <c r="F9" s="2"/>
    </row>
    <row r="10" customFormat="false" ht="15" hidden="false" customHeight="false" outlineLevel="0" collapsed="false">
      <c r="A10" s="8" t="s">
        <v>292</v>
      </c>
      <c r="B10" s="8"/>
      <c r="C10" s="8" t="s">
        <v>293</v>
      </c>
      <c r="D10" s="8" t="s">
        <v>294</v>
      </c>
      <c r="E10" s="8" t="s">
        <v>295</v>
      </c>
      <c r="F10" s="8" t="s">
        <v>263</v>
      </c>
    </row>
    <row r="11" customFormat="false" ht="15" hidden="false" customHeight="false" outlineLevel="0" collapsed="false">
      <c r="A11" s="2" t="s">
        <v>296</v>
      </c>
      <c r="B11" s="2"/>
      <c r="C11" s="2" t="s">
        <v>297</v>
      </c>
      <c r="D11" s="2" t="s">
        <v>298</v>
      </c>
      <c r="E11" s="2" t="n">
        <v>0</v>
      </c>
      <c r="F11" s="2"/>
    </row>
    <row r="12" customFormat="false" ht="15" hidden="false" customHeight="false" outlineLevel="0" collapsed="false">
      <c r="A12" s="2" t="s">
        <v>299</v>
      </c>
      <c r="B12" s="2"/>
      <c r="C12" s="2" t="s">
        <v>300</v>
      </c>
      <c r="D12" s="2" t="s">
        <v>298</v>
      </c>
      <c r="E12" s="2" t="n">
        <v>0</v>
      </c>
      <c r="F12" s="2" t="s">
        <v>301</v>
      </c>
    </row>
    <row r="13" customFormat="false" ht="15" hidden="false" customHeight="false" outlineLevel="0" collapsed="false">
      <c r="A13" s="2" t="s">
        <v>302</v>
      </c>
      <c r="B13" s="2"/>
      <c r="C13" s="2" t="s">
        <v>303</v>
      </c>
      <c r="D13" s="2" t="s">
        <v>298</v>
      </c>
      <c r="E13" s="2" t="n">
        <v>0</v>
      </c>
      <c r="F13" s="2"/>
    </row>
    <row r="14" customFormat="false" ht="15" hidden="false" customHeight="false" outlineLevel="0" collapsed="false">
      <c r="A14" s="2" t="s">
        <v>304</v>
      </c>
      <c r="B14" s="2"/>
      <c r="C14" s="2" t="s">
        <v>305</v>
      </c>
      <c r="D14" s="2" t="s">
        <v>298</v>
      </c>
      <c r="E14" s="2" t="n">
        <v>0</v>
      </c>
      <c r="F14" s="2"/>
    </row>
    <row r="15" customFormat="false" ht="15" hidden="false" customHeight="false" outlineLevel="0" collapsed="false">
      <c r="A15" s="2" t="s">
        <v>306</v>
      </c>
      <c r="B15" s="2"/>
      <c r="C15" s="2" t="s">
        <v>307</v>
      </c>
      <c r="D15" s="2" t="s">
        <v>298</v>
      </c>
      <c r="E15" s="2"/>
      <c r="F15" s="2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36"/>
    <col collapsed="false" customWidth="true" hidden="false" outlineLevel="0" max="9" min="9" style="0" width="58"/>
  </cols>
  <sheetData>
    <row r="1" customFormat="false" ht="15" hidden="false" customHeight="false" outlineLevel="0" collapsed="false">
      <c r="A1" s="8" t="s">
        <v>309</v>
      </c>
      <c r="B1" s="8" t="s">
        <v>310</v>
      </c>
      <c r="C1" s="8" t="s">
        <v>311</v>
      </c>
      <c r="D1" s="8" t="s">
        <v>312</v>
      </c>
      <c r="E1" s="8" t="s">
        <v>313</v>
      </c>
      <c r="F1" s="8" t="s">
        <v>262</v>
      </c>
      <c r="G1" s="8" t="s">
        <v>314</v>
      </c>
      <c r="H1" s="8" t="s">
        <v>315</v>
      </c>
      <c r="I1" s="8" t="s">
        <v>316</v>
      </c>
    </row>
    <row r="2" customFormat="false" ht="30.75" hidden="false" customHeight="true" outlineLevel="0" collapsed="false">
      <c r="A2" s="2" t="s">
        <v>264</v>
      </c>
      <c r="B2" s="3" t="s">
        <v>267</v>
      </c>
      <c r="C2" s="2" t="s">
        <v>317</v>
      </c>
      <c r="D2" s="2" t="s">
        <v>318</v>
      </c>
      <c r="E2" s="2" t="s">
        <v>319</v>
      </c>
      <c r="F2" s="2" t="s">
        <v>320</v>
      </c>
      <c r="G2" s="2" t="s">
        <v>321</v>
      </c>
      <c r="H2" s="2" t="s">
        <v>322</v>
      </c>
      <c r="I2" s="2" t="s">
        <v>323</v>
      </c>
    </row>
    <row r="3" customFormat="false" ht="30.75" hidden="false" customHeight="true" outlineLevel="0" collapsed="false">
      <c r="A3" s="2" t="s">
        <v>264</v>
      </c>
      <c r="B3" s="3" t="s">
        <v>324</v>
      </c>
      <c r="C3" s="2" t="s">
        <v>325</v>
      </c>
      <c r="D3" s="2" t="s">
        <v>326</v>
      </c>
      <c r="E3" s="2" t="s">
        <v>327</v>
      </c>
      <c r="F3" s="2"/>
      <c r="G3" s="2" t="s">
        <v>321</v>
      </c>
      <c r="H3" s="2" t="s">
        <v>328</v>
      </c>
      <c r="I3" s="2" t="s">
        <v>329</v>
      </c>
    </row>
    <row r="4" customFormat="false" ht="30.75" hidden="false" customHeight="true" outlineLevel="0" collapsed="false">
      <c r="A4" s="2" t="s">
        <v>264</v>
      </c>
      <c r="B4" s="3" t="s">
        <v>272</v>
      </c>
      <c r="C4" s="2" t="s">
        <v>330</v>
      </c>
      <c r="D4" s="2" t="s">
        <v>326</v>
      </c>
      <c r="E4" s="2" t="s">
        <v>331</v>
      </c>
      <c r="F4" s="2" t="s">
        <v>332</v>
      </c>
      <c r="G4" s="2" t="s">
        <v>321</v>
      </c>
      <c r="H4" s="2" t="s">
        <v>333</v>
      </c>
      <c r="I4" s="2" t="s">
        <v>334</v>
      </c>
    </row>
    <row r="5" customFormat="false" ht="30.75" hidden="false" customHeight="true" outlineLevel="0" collapsed="false">
      <c r="A5" s="2" t="s">
        <v>264</v>
      </c>
      <c r="B5" s="3" t="s">
        <v>276</v>
      </c>
      <c r="C5" s="2" t="s">
        <v>335</v>
      </c>
      <c r="D5" s="2" t="s">
        <v>326</v>
      </c>
      <c r="E5" s="2" t="s">
        <v>336</v>
      </c>
      <c r="F5" s="2" t="s">
        <v>337</v>
      </c>
      <c r="G5" s="2" t="s">
        <v>338</v>
      </c>
      <c r="H5" s="2" t="s">
        <v>339</v>
      </c>
      <c r="I5" s="2" t="s">
        <v>340</v>
      </c>
    </row>
    <row r="6" customFormat="false" ht="44.25" hidden="false" customHeight="true" outlineLevel="0" collapsed="false">
      <c r="A6" s="2" t="s">
        <v>264</v>
      </c>
      <c r="B6" s="3" t="s">
        <v>280</v>
      </c>
      <c r="C6" s="2" t="s">
        <v>341</v>
      </c>
      <c r="D6" s="2" t="s">
        <v>326</v>
      </c>
      <c r="E6" s="2" t="s">
        <v>342</v>
      </c>
      <c r="F6" s="2" t="s">
        <v>343</v>
      </c>
      <c r="G6" s="2" t="s">
        <v>321</v>
      </c>
      <c r="H6" s="2" t="s">
        <v>344</v>
      </c>
      <c r="I6" s="2" t="s">
        <v>345</v>
      </c>
    </row>
    <row r="7" customFormat="false" ht="44.25" hidden="false" customHeight="true" outlineLevel="0" collapsed="false">
      <c r="A7" s="2" t="s">
        <v>264</v>
      </c>
      <c r="B7" s="3" t="s">
        <v>284</v>
      </c>
      <c r="C7" s="2" t="s">
        <v>346</v>
      </c>
      <c r="D7" s="2" t="s">
        <v>326</v>
      </c>
      <c r="E7" s="2" t="s">
        <v>184</v>
      </c>
      <c r="F7" s="2" t="s">
        <v>347</v>
      </c>
      <c r="G7" s="2" t="s">
        <v>321</v>
      </c>
      <c r="H7" s="2" t="s">
        <v>348</v>
      </c>
      <c r="I7" s="2" t="s">
        <v>349</v>
      </c>
    </row>
    <row r="8" customFormat="false" ht="30.75" hidden="false" customHeight="true" outlineLevel="0" collapsed="false">
      <c r="A8" s="2" t="s">
        <v>264</v>
      </c>
      <c r="B8" s="3" t="s">
        <v>350</v>
      </c>
      <c r="C8" s="2" t="s">
        <v>351</v>
      </c>
      <c r="D8" s="2" t="s">
        <v>352</v>
      </c>
      <c r="E8" s="2" t="s">
        <v>353</v>
      </c>
      <c r="F8" s="2"/>
      <c r="G8" s="2" t="s">
        <v>321</v>
      </c>
      <c r="H8" s="2" t="s">
        <v>354</v>
      </c>
      <c r="I8" s="2" t="s">
        <v>355</v>
      </c>
    </row>
    <row r="9" customFormat="false" ht="18" hidden="false" customHeight="true" outlineLevel="0" collapsed="false">
      <c r="A9" s="2" t="s">
        <v>264</v>
      </c>
      <c r="B9" s="3" t="s">
        <v>356</v>
      </c>
      <c r="C9" s="2" t="s">
        <v>357</v>
      </c>
      <c r="D9" s="2" t="s">
        <v>358</v>
      </c>
      <c r="E9" s="2" t="s">
        <v>359</v>
      </c>
      <c r="F9" s="2" t="s">
        <v>360</v>
      </c>
      <c r="G9" s="2" t="s">
        <v>321</v>
      </c>
      <c r="H9" s="2" t="s">
        <v>361</v>
      </c>
      <c r="I9" s="2" t="s">
        <v>362</v>
      </c>
    </row>
    <row r="10" customFormat="false" ht="30.75" hidden="false" customHeight="true" outlineLevel="0" collapsed="false">
      <c r="A10" s="2" t="s">
        <v>264</v>
      </c>
      <c r="B10" s="3" t="s">
        <v>363</v>
      </c>
      <c r="C10" s="2" t="s">
        <v>364</v>
      </c>
      <c r="D10" s="2" t="s">
        <v>318</v>
      </c>
      <c r="E10" s="2" t="s">
        <v>365</v>
      </c>
      <c r="F10" s="2"/>
      <c r="G10" s="2" t="s">
        <v>321</v>
      </c>
      <c r="H10" s="2" t="s">
        <v>366</v>
      </c>
      <c r="I10" s="2" t="s">
        <v>367</v>
      </c>
    </row>
    <row r="11" customFormat="false" ht="30.75" hidden="false" customHeight="true" outlineLevel="0" collapsed="false">
      <c r="A11" s="2" t="s">
        <v>264</v>
      </c>
      <c r="B11" s="3" t="s">
        <v>368</v>
      </c>
      <c r="C11" s="2" t="s">
        <v>369</v>
      </c>
      <c r="D11" s="2" t="s">
        <v>370</v>
      </c>
      <c r="E11" s="2" t="s">
        <v>371</v>
      </c>
      <c r="F11" s="2"/>
      <c r="G11" s="2" t="s">
        <v>321</v>
      </c>
      <c r="H11" s="2" t="s">
        <v>372</v>
      </c>
      <c r="I11" s="2" t="s">
        <v>373</v>
      </c>
    </row>
    <row r="12" customFormat="false" ht="18" hidden="false" customHeight="true" outlineLevel="0" collapsed="false">
      <c r="A12" s="2" t="s">
        <v>264</v>
      </c>
      <c r="B12" s="3" t="s">
        <v>374</v>
      </c>
      <c r="C12" s="2" t="s">
        <v>375</v>
      </c>
      <c r="D12" s="2" t="s">
        <v>376</v>
      </c>
      <c r="E12" s="2" t="s">
        <v>377</v>
      </c>
      <c r="F12" s="2"/>
      <c r="G12" s="2" t="s">
        <v>321</v>
      </c>
      <c r="H12" s="2" t="s">
        <v>378</v>
      </c>
      <c r="I12" s="2" t="s">
        <v>379</v>
      </c>
    </row>
    <row r="13" customFormat="false" ht="30.75" hidden="false" customHeight="true" outlineLevel="0" collapsed="false">
      <c r="A13" s="2" t="s">
        <v>264</v>
      </c>
      <c r="B13" s="3" t="s">
        <v>380</v>
      </c>
      <c r="C13" s="2" t="s">
        <v>381</v>
      </c>
      <c r="D13" s="2" t="s">
        <v>382</v>
      </c>
      <c r="E13" s="2" t="s">
        <v>383</v>
      </c>
      <c r="F13" s="2"/>
      <c r="G13" s="2" t="s">
        <v>321</v>
      </c>
      <c r="H13" s="2" t="s">
        <v>384</v>
      </c>
      <c r="I13" s="2" t="s">
        <v>385</v>
      </c>
    </row>
    <row r="14" customFormat="false" ht="30.75" hidden="false" customHeight="true" outlineLevel="0" collapsed="false">
      <c r="A14" s="2" t="s">
        <v>264</v>
      </c>
      <c r="B14" s="3" t="s">
        <v>386</v>
      </c>
      <c r="C14" s="2" t="s">
        <v>387</v>
      </c>
      <c r="D14" s="2" t="s">
        <v>382</v>
      </c>
      <c r="E14" s="2" t="s">
        <v>383</v>
      </c>
      <c r="F14" s="2"/>
      <c r="G14" s="2" t="s">
        <v>321</v>
      </c>
      <c r="H14" s="2" t="s">
        <v>384</v>
      </c>
      <c r="I14" s="2" t="s">
        <v>388</v>
      </c>
    </row>
    <row r="15" customFormat="false" ht="18" hidden="false" customHeight="true" outlineLevel="0" collapsed="false">
      <c r="A15" s="2" t="s">
        <v>269</v>
      </c>
      <c r="B15" s="3" t="s">
        <v>272</v>
      </c>
      <c r="C15" s="2" t="s">
        <v>330</v>
      </c>
      <c r="D15" s="2" t="s">
        <v>326</v>
      </c>
      <c r="E15" s="2" t="s">
        <v>331</v>
      </c>
      <c r="F15" s="2" t="s">
        <v>320</v>
      </c>
      <c r="G15" s="2" t="s">
        <v>321</v>
      </c>
      <c r="H15" s="2" t="s">
        <v>264</v>
      </c>
      <c r="I15" s="2" t="s">
        <v>389</v>
      </c>
    </row>
    <row r="16" customFormat="false" ht="30.75" hidden="false" customHeight="true" outlineLevel="0" collapsed="false">
      <c r="A16" s="2" t="s">
        <v>269</v>
      </c>
      <c r="B16" s="3" t="s">
        <v>390</v>
      </c>
      <c r="C16" s="2" t="s">
        <v>391</v>
      </c>
      <c r="D16" s="2" t="s">
        <v>326</v>
      </c>
      <c r="E16" s="2" t="s">
        <v>392</v>
      </c>
      <c r="F16" s="2"/>
      <c r="G16" s="2" t="s">
        <v>393</v>
      </c>
      <c r="H16" s="2" t="s">
        <v>394</v>
      </c>
      <c r="I16" s="2" t="s">
        <v>395</v>
      </c>
    </row>
    <row r="17" customFormat="false" ht="18" hidden="false" customHeight="true" outlineLevel="0" collapsed="false">
      <c r="A17" s="2" t="s">
        <v>269</v>
      </c>
      <c r="B17" s="3" t="s">
        <v>396</v>
      </c>
      <c r="C17" s="2" t="s">
        <v>397</v>
      </c>
      <c r="D17" s="2" t="s">
        <v>326</v>
      </c>
      <c r="E17" s="2" t="s">
        <v>398</v>
      </c>
      <c r="F17" s="2"/>
      <c r="G17" s="2" t="s">
        <v>321</v>
      </c>
      <c r="H17" s="2" t="s">
        <v>399</v>
      </c>
      <c r="I17" s="2" t="s">
        <v>400</v>
      </c>
    </row>
    <row r="18" customFormat="false" ht="18" hidden="false" customHeight="true" outlineLevel="0" collapsed="false">
      <c r="A18" s="2" t="s">
        <v>269</v>
      </c>
      <c r="B18" s="3" t="s">
        <v>401</v>
      </c>
      <c r="C18" s="2" t="s">
        <v>402</v>
      </c>
      <c r="D18" s="2" t="s">
        <v>382</v>
      </c>
      <c r="E18" s="2" t="s">
        <v>319</v>
      </c>
      <c r="F18" s="2"/>
      <c r="G18" s="2" t="s">
        <v>321</v>
      </c>
      <c r="H18" s="2" t="s">
        <v>399</v>
      </c>
      <c r="I18" s="2" t="s">
        <v>403</v>
      </c>
    </row>
    <row r="19" customFormat="false" ht="18" hidden="false" customHeight="true" outlineLevel="0" collapsed="false">
      <c r="A19" s="2" t="s">
        <v>274</v>
      </c>
      <c r="B19" s="3" t="s">
        <v>276</v>
      </c>
      <c r="C19" s="2" t="s">
        <v>335</v>
      </c>
      <c r="D19" s="2" t="s">
        <v>326</v>
      </c>
      <c r="E19" s="2" t="s">
        <v>404</v>
      </c>
      <c r="F19" s="2" t="s">
        <v>320</v>
      </c>
      <c r="G19" s="2" t="s">
        <v>321</v>
      </c>
      <c r="H19" s="2" t="s">
        <v>264</v>
      </c>
      <c r="I19" s="2" t="s">
        <v>405</v>
      </c>
    </row>
    <row r="20" customFormat="false" ht="30.75" hidden="false" customHeight="true" outlineLevel="0" collapsed="false">
      <c r="A20" s="2" t="s">
        <v>274</v>
      </c>
      <c r="B20" s="3" t="s">
        <v>280</v>
      </c>
      <c r="C20" s="2" t="s">
        <v>406</v>
      </c>
      <c r="D20" s="2" t="s">
        <v>326</v>
      </c>
      <c r="E20" s="2" t="s">
        <v>407</v>
      </c>
      <c r="F20" s="2"/>
      <c r="G20" s="2" t="s">
        <v>321</v>
      </c>
      <c r="H20" s="2" t="s">
        <v>408</v>
      </c>
      <c r="I20" s="2" t="s">
        <v>409</v>
      </c>
    </row>
    <row r="21" customFormat="false" ht="18" hidden="false" customHeight="true" outlineLevel="0" collapsed="false">
      <c r="A21" s="2" t="s">
        <v>274</v>
      </c>
      <c r="B21" s="3" t="s">
        <v>410</v>
      </c>
      <c r="C21" s="2" t="s">
        <v>411</v>
      </c>
      <c r="D21" s="2" t="s">
        <v>318</v>
      </c>
      <c r="E21" s="2" t="s">
        <v>319</v>
      </c>
      <c r="F21" s="2"/>
      <c r="G21" s="2" t="s">
        <v>321</v>
      </c>
      <c r="H21" s="2" t="s">
        <v>399</v>
      </c>
      <c r="I21" s="2" t="s">
        <v>412</v>
      </c>
    </row>
    <row r="22" customFormat="false" ht="30.75" hidden="false" customHeight="true" outlineLevel="0" collapsed="false">
      <c r="A22" s="2" t="s">
        <v>274</v>
      </c>
      <c r="B22" s="3" t="s">
        <v>413</v>
      </c>
      <c r="C22" s="2" t="s">
        <v>414</v>
      </c>
      <c r="D22" s="2" t="s">
        <v>326</v>
      </c>
      <c r="E22" s="2" t="s">
        <v>415</v>
      </c>
      <c r="F22" s="2"/>
      <c r="G22" s="2" t="s">
        <v>321</v>
      </c>
      <c r="H22" s="2" t="s">
        <v>416</v>
      </c>
      <c r="I22" s="2" t="s">
        <v>417</v>
      </c>
    </row>
    <row r="23" customFormat="false" ht="18" hidden="false" customHeight="true" outlineLevel="0" collapsed="false">
      <c r="A23" s="2" t="s">
        <v>278</v>
      </c>
      <c r="B23" s="3" t="s">
        <v>280</v>
      </c>
      <c r="C23" s="2" t="s">
        <v>418</v>
      </c>
      <c r="D23" s="2" t="s">
        <v>326</v>
      </c>
      <c r="E23" s="2" t="s">
        <v>419</v>
      </c>
      <c r="F23" s="2" t="s">
        <v>320</v>
      </c>
      <c r="G23" s="2" t="s">
        <v>321</v>
      </c>
      <c r="H23" s="2" t="s">
        <v>264</v>
      </c>
      <c r="I23" s="2" t="s">
        <v>420</v>
      </c>
    </row>
    <row r="24" customFormat="false" ht="30.75" hidden="false" customHeight="true" outlineLevel="0" collapsed="false">
      <c r="A24" s="2" t="s">
        <v>278</v>
      </c>
      <c r="B24" s="3" t="s">
        <v>421</v>
      </c>
      <c r="C24" s="2" t="s">
        <v>422</v>
      </c>
      <c r="D24" s="2" t="s">
        <v>382</v>
      </c>
      <c r="E24" s="2" t="s">
        <v>319</v>
      </c>
      <c r="F24" s="2"/>
      <c r="G24" s="2" t="s">
        <v>321</v>
      </c>
      <c r="H24" s="2" t="s">
        <v>399</v>
      </c>
      <c r="I24" s="2" t="s">
        <v>423</v>
      </c>
    </row>
    <row r="25" customFormat="false" ht="18" hidden="false" customHeight="true" outlineLevel="0" collapsed="false">
      <c r="A25" s="2" t="s">
        <v>282</v>
      </c>
      <c r="B25" s="3" t="s">
        <v>284</v>
      </c>
      <c r="C25" s="2" t="s">
        <v>424</v>
      </c>
      <c r="D25" s="2" t="s">
        <v>326</v>
      </c>
      <c r="E25" s="2" t="s">
        <v>184</v>
      </c>
      <c r="F25" s="2" t="s">
        <v>320</v>
      </c>
      <c r="G25" s="2" t="s">
        <v>321</v>
      </c>
      <c r="H25" s="2" t="s">
        <v>425</v>
      </c>
      <c r="I25" s="2" t="s">
        <v>426</v>
      </c>
    </row>
    <row r="26" customFormat="false" ht="18" hidden="false" customHeight="true" outlineLevel="0" collapsed="false">
      <c r="A26" s="2" t="s">
        <v>282</v>
      </c>
      <c r="B26" s="3" t="s">
        <v>427</v>
      </c>
      <c r="C26" s="2" t="s">
        <v>428</v>
      </c>
      <c r="D26" s="2" t="s">
        <v>326</v>
      </c>
      <c r="E26" s="2" t="s">
        <v>429</v>
      </c>
      <c r="F26" s="2"/>
      <c r="G26" s="2" t="s">
        <v>321</v>
      </c>
      <c r="H26" s="2" t="s">
        <v>430</v>
      </c>
      <c r="I26" s="2"/>
    </row>
    <row r="27" customFormat="false" ht="18" hidden="false" customHeight="true" outlineLevel="0" collapsed="false">
      <c r="A27" s="2" t="s">
        <v>282</v>
      </c>
      <c r="B27" s="3" t="s">
        <v>431</v>
      </c>
      <c r="C27" s="2" t="s">
        <v>432</v>
      </c>
      <c r="D27" s="2" t="s">
        <v>382</v>
      </c>
      <c r="E27" s="2" t="s">
        <v>319</v>
      </c>
      <c r="F27" s="2"/>
      <c r="G27" s="2" t="s">
        <v>321</v>
      </c>
      <c r="H27" s="2" t="s">
        <v>430</v>
      </c>
      <c r="I27" s="2" t="s">
        <v>433</v>
      </c>
    </row>
    <row r="28" customFormat="false" ht="18" hidden="false" customHeight="true" outlineLevel="0" collapsed="false">
      <c r="A28" s="2" t="s">
        <v>282</v>
      </c>
      <c r="B28" s="3" t="s">
        <v>434</v>
      </c>
      <c r="C28" s="2" t="s">
        <v>435</v>
      </c>
      <c r="D28" s="2" t="s">
        <v>382</v>
      </c>
      <c r="E28" s="2" t="s">
        <v>319</v>
      </c>
      <c r="F28" s="2"/>
      <c r="G28" s="2" t="s">
        <v>321</v>
      </c>
      <c r="H28" s="2" t="s">
        <v>430</v>
      </c>
      <c r="I28" s="2" t="s">
        <v>436</v>
      </c>
    </row>
    <row r="29" customFormat="false" ht="18" hidden="false" customHeight="true" outlineLevel="0" collapsed="false">
      <c r="A29" s="2" t="s">
        <v>286</v>
      </c>
      <c r="B29" s="3" t="s">
        <v>358</v>
      </c>
      <c r="C29" s="2" t="s">
        <v>437</v>
      </c>
      <c r="D29" s="2" t="s">
        <v>358</v>
      </c>
      <c r="E29" s="2" t="s">
        <v>438</v>
      </c>
      <c r="F29" s="2" t="s">
        <v>320</v>
      </c>
      <c r="G29" s="2" t="s">
        <v>321</v>
      </c>
      <c r="H29" s="2" t="s">
        <v>439</v>
      </c>
      <c r="I29" s="2" t="s">
        <v>440</v>
      </c>
    </row>
    <row r="30" customFormat="false" ht="18" hidden="false" customHeight="true" outlineLevel="0" collapsed="false">
      <c r="A30" s="2" t="s">
        <v>286</v>
      </c>
      <c r="B30" s="3" t="s">
        <v>441</v>
      </c>
      <c r="C30" s="2" t="s">
        <v>442</v>
      </c>
      <c r="D30" s="2" t="s">
        <v>443</v>
      </c>
      <c r="E30" s="2" t="s">
        <v>444</v>
      </c>
      <c r="F30" s="2"/>
      <c r="G30" s="2" t="s">
        <v>321</v>
      </c>
      <c r="H30" s="2" t="s">
        <v>445</v>
      </c>
      <c r="I30" s="2" t="s">
        <v>446</v>
      </c>
    </row>
    <row r="31" customFormat="false" ht="30.75" hidden="false" customHeight="true" outlineLevel="0" collapsed="false">
      <c r="A31" s="2" t="s">
        <v>286</v>
      </c>
      <c r="B31" s="3" t="s">
        <v>447</v>
      </c>
      <c r="C31" s="2" t="s">
        <v>448</v>
      </c>
      <c r="D31" s="2" t="s">
        <v>326</v>
      </c>
      <c r="E31" s="2" t="s">
        <v>449</v>
      </c>
      <c r="F31" s="2"/>
      <c r="G31" s="2" t="s">
        <v>321</v>
      </c>
      <c r="H31" s="2" t="s">
        <v>445</v>
      </c>
      <c r="I31" s="2" t="s">
        <v>450</v>
      </c>
    </row>
  </sheetData>
  <autoFilter ref="A1:I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2026-10-13T09:41:19Z</dcterms:created>
  <dc:creator>openpyxl</dc:creator>
  <dc:description/>
  <dc:language>en-US</dc:language>
  <cp:lastModifiedBy/>
  <dcterms:modified xsi:type="dcterms:W3CDTF">2026-10-13T09:41:19Z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